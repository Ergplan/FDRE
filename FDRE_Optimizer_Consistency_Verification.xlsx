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sults" sheetId="2" state="visible" r:id="rId4"/>
    <sheet name="Optimizer boun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<sst xmlns="http://schemas.openxmlformats.org/spreadsheetml/2006/main" count="203" uniqueCount="97">
  <si>
    <t xml:space="preserve">FDRE OPTIMIZER — INPUT/OUTPUT CONSISTENCY VERIFICATION</t>
  </si>
  <si>
    <t xml:space="preserve">WHY REDUCING TARGET EQUITY IRR TO 8% DOES NOT CHANGE THE TARIFF</t>
  </si>
  <si>
    <t xml:space="preserve">The tariff solver finds the lowest tariff satisfying BOTH conditions: equity IRR &gt;= target AND minimum DSCR &gt;= floor (default 1.10).</t>
  </si>
  <si>
    <t xml:space="preserve">The solved tariff is therefore set by whichever constraint needs the higher tariff. For the base case (default portfolio, CC = 180 MW),</t>
  </si>
  <si>
    <t xml:space="preserve">the DSCR floor requires Rs 5.6188/kWh. The IRR constraint only requires more than that once the target exceeds ~14%.</t>
  </si>
  <si>
    <t xml:space="preserve">So for any target IRR from 8% to 14% the tariff is pinned at Rs 5.6188 by the lender covenant (binding constraint = DSCR), and the</t>
  </si>
  <si>
    <t xml:space="preserve">achieved equity IRR stays ~14.0% regardless of the lower target. Above ~14% the IRR constraint takes over: 16% -&gt; Rs 5.8336, 18% -&gt; Rs 6.0518.</t>
  </si>
  <si>
    <t xml:space="preserve">Proof by relaxation: with the DSCR floor lowered to 0.50 (Test B), the tariff responds smoothly to the IRR target:</t>
  </si>
  <si>
    <t xml:space="preserve">8% -&gt; Rs 4.9523, 10% -&gt; 5.1792, 12% -&gt; 5.3996, 14% -&gt; 5.6169, 16% -&gt; 5.8336, 18% -&gt; 6.0518 (strictly increasing).</t>
  </si>
  <si>
    <t xml:space="preserve">CONCLUSION: the observed behaviour is correct, not a bug. To explore IRR-driven tariffs in the app, lower the "Minimum DSCR" input.</t>
  </si>
  <si>
    <t xml:space="preserve">VERIFICATION VERDICT</t>
  </si>
  <si>
    <t xml:space="preserve">53 scenario runs across 13 input families (IRR target, DSCR floor, solar/wind/BESS capex, interest, leverage, merchant price,</t>
  </si>
  <si>
    <t xml:space="preserve">solar/wind/BESS-energy/BESS-power sizing, contracted capacity, optimizer bounds). Every response moved in the economically</t>
  </si>
  <si>
    <t xml:space="preserve">expected direction or was expectedly infeasible; no illogical output was found. Details and per-row checks on the Results sheet.</t>
  </si>
  <si>
    <t xml:space="preserve">NOTABLE INTERNAL-CONSISTENCY EVIDENCE</t>
  </si>
  <si>
    <t xml:space="preserve">1. Equal capex shocks give equal tariff shocks: +Rs 150 cr via solar (+0.5 cr/MW x 300 MW) moves tariff +0.3115; +Rs 148 cr via BESS</t>
  </si>
  <si>
    <t xml:space="preserve">   (+0.2 cr/MWh x 740 MWh) moves it +0.3074 - the model prices capital identically regardless of which asset carries it.</t>
  </si>
  <si>
    <t xml:space="preserve">2. Debt fraction shows the correct U-shape: 65% -&gt; 5.8208 (IRR-binding: more equity to remunerate), 75% -&gt; 5.6188, 80% -&gt; 5.9553</t>
  </si>
  <si>
    <t xml:space="preserve">   (DSCR-binding: heavier debt service). The binding-constraint flag flips exactly where economics says it should.</t>
  </si>
  <si>
    <t xml:space="preserve">3. Sizing shows U-shapes around the uploaded configuration (under-build loses revenue, over-build adds unremunerated capex against</t>
  </si>
  <si>
    <t xml:space="preserve">   the 110% CUF offtake cap), and infeasibility appears exactly where physics demands it (BESS -20%, or CC = 200 MW).</t>
  </si>
  <si>
    <t xml:space="preserve">4. Optimizer respects bounds in all 4 combinations; pinning a useful technology raises the optimum (wind-pinned: 5.73; solar-pinned: 9.37).</t>
  </si>
  <si>
    <t xml:space="preserve">   Tight vs wide bounds agree within solver tolerance (5.6185 vs 5.6188, i.e. 0.0003 = bisection resolution).</t>
  </si>
  <si>
    <t xml:space="preserve">Base case for all one-at-a-time tests: uploaded Rajasthan portfolio (31.5 MW wind, 300 MWac solar, 185 MW / 740 MWh BESS),</t>
  </si>
  <si>
    <t xml:space="preserve">CC = 180 MW, declared CUF 40%, target IRR 14%, min DSCR 1.10, solve years (1,5,10,15,20,25). Engine version as of 8 Jul 2026 (post-QA patch).</t>
  </si>
  <si>
    <t xml:space="preserve">CONSISTENCY TEST RESULTS — one-at-a-time input sweeps</t>
  </si>
  <si>
    <t xml:space="preserve">Test group</t>
  </si>
  <si>
    <t xml:space="preserve">Parameter</t>
  </si>
  <si>
    <t xml:space="preserve">Value</t>
  </si>
  <si>
    <t xml:space="preserve">Tariff (Rs/kWh)</t>
  </si>
  <si>
    <t xml:space="preserve">Equity IRR</t>
  </si>
  <si>
    <t xml:space="preserve">Min DSCR</t>
  </si>
  <si>
    <t xml:space="preserve">Binding</t>
  </si>
  <si>
    <t xml:space="preserve">TPC (Rs cr)</t>
  </si>
  <si>
    <t xml:space="preserve">D tariff vs base</t>
  </si>
  <si>
    <t xml:space="preserve">Expected behaviour</t>
  </si>
  <si>
    <t xml:space="preserve">Check</t>
  </si>
  <si>
    <t xml:space="preserve">A: Target IRR (DSCR floor 1.10)</t>
  </si>
  <si>
    <t xml:space="preserve">target_equity_irr</t>
  </si>
  <si>
    <t xml:space="preserve">DSCR</t>
  </si>
  <si>
    <t xml:space="preserve">Flat while DSCR binds (target &lt;= ~14%), then rising once IRR binds</t>
  </si>
  <si>
    <t xml:space="preserve">PASS</t>
  </si>
  <si>
    <t xml:space="preserve">IRR</t>
  </si>
  <si>
    <t xml:space="preserve">B: Target IRR (DSCR floor relaxed to 0.50)</t>
  </si>
  <si>
    <t xml:space="preserve">Strictly increasing with IRR target (DSCR relaxed)</t>
  </si>
  <si>
    <t xml:space="preserve">C: Min DSCR floor (target IRR 14%)</t>
  </si>
  <si>
    <t xml:space="preserve">min_dscr</t>
  </si>
  <si>
    <t xml:space="preserve">Non-decreasing with DSCR floor</t>
  </si>
  <si>
    <t xml:space="preserve">D: Solar capex (cr/MWac)</t>
  </si>
  <si>
    <t xml:space="preserve">solar_capex</t>
  </si>
  <si>
    <t xml:space="preserve">Increasing with capex</t>
  </si>
  <si>
    <t xml:space="preserve">D: Wind capex (cr/MW)</t>
  </si>
  <si>
    <t xml:space="preserve">wind_capex</t>
  </si>
  <si>
    <t xml:space="preserve">D: BESS capex (cr/MWh)</t>
  </si>
  <si>
    <t xml:space="preserve">bess_capex</t>
  </si>
  <si>
    <t xml:space="preserve">E: Interest rate</t>
  </si>
  <si>
    <t xml:space="preserve">interest_rate</t>
  </si>
  <si>
    <t xml:space="preserve">Increasing with interest rate</t>
  </si>
  <si>
    <t xml:space="preserve">E: Debt fraction</t>
  </si>
  <si>
    <t xml:space="preserve">debt_fraction</t>
  </si>
  <si>
    <t xml:space="preserve">U-shape: low leverage -&gt; IRR-binding raises tariff; high leverage -&gt; DSCR-binding raises tariff</t>
  </si>
  <si>
    <t xml:space="preserve">F: Merchant price (Rs/kWh)</t>
  </si>
  <si>
    <t xml:space="preserve">merchant_price</t>
  </si>
  <si>
    <t xml:space="preserve">Decreasing with merchant price</t>
  </si>
  <si>
    <t xml:space="preserve">G: Solar installed (MWac)</t>
  </si>
  <si>
    <t xml:space="preserve">solar_ac_mw</t>
  </si>
  <si>
    <t xml:space="preserve">U-shape/flattening: under-build loses PPA energy; over-build capped by 110% CUF offtake</t>
  </si>
  <si>
    <t xml:space="preserve">G: Wind installed (MW)</t>
  </si>
  <si>
    <t xml:space="preserve">wind_mw</t>
  </si>
  <si>
    <t xml:space="preserve">U-shape around base</t>
  </si>
  <si>
    <t xml:space="preserve">G: BESS energy (MWh)</t>
  </si>
  <si>
    <t xml:space="preserve">bess_energy_mwh</t>
  </si>
  <si>
    <t xml:space="preserve">INFEASIBLE</t>
  </si>
  <si>
    <t xml:space="preserve">Too small -&gt; infeasible (90% floor); larger -&gt; costlier</t>
  </si>
  <si>
    <t xml:space="preserve">G: BESS power (MW)</t>
  </si>
  <si>
    <t xml:space="preserve">bess_power_mw</t>
  </si>
  <si>
    <t xml:space="preserve">Increasing above the level needed for the peak obligation</t>
  </si>
  <si>
    <t xml:space="preserve">G: Contracted capacity (MW)</t>
  </si>
  <si>
    <t xml:space="preserve">contracted_capacity_mw</t>
  </si>
  <si>
    <t xml:space="preserve">Lower CC spreads fixed assets over less revenue (higher tariff); CC=200 infeasible</t>
  </si>
  <si>
    <t xml:space="preserve">monthly peak availability shortfall</t>
  </si>
  <si>
    <t xml:space="preserve">OPTIMIZER BOUNDS COMBINATIONS (app "Fast" effort settings)</t>
  </si>
  <si>
    <t xml:space="preserve">Scenario</t>
  </si>
  <si>
    <t xml:space="preserve">Within bounds</t>
  </si>
  <si>
    <t xml:space="preserve">Evals</t>
  </si>
  <si>
    <t xml:space="preserve">Optimized variables</t>
  </si>
  <si>
    <t xml:space="preserve">H1: tight bounds (+/-10% around base)</t>
  </si>
  <si>
    <t xml:space="preserve">YES</t>
  </si>
  <si>
    <t xml:space="preserve">{'wind_mw': 31.6, 'solar_ac_mw': 300.0, 'bess_power_mw': 185.0, 'bess_energy_mwh': 740.0, 'contracted_capacity_mw': 180.0}</t>
  </si>
  <si>
    <t xml:space="preserve">H2: wide bounds (0.5x - 2x)</t>
  </si>
  <si>
    <t xml:space="preserve">{'wind_mw': 31.5, 'solar_ac_mw': 300.0, 'bess_power_mw': 185.0, 'bess_energy_mwh': 740.0, 'contracted_capacity_mw': 180.0}</t>
  </si>
  <si>
    <t xml:space="preserve">H3: solar-favoured (wind pinned ~15 MW)</t>
  </si>
  <si>
    <t xml:space="preserve">{'wind_mw': 16.0, 'solar_ac_mw': 300.0, 'bess_power_mw': 185.0, 'bess_energy_mwh': 740.0, 'contracted_capacity_mw': 180.0}</t>
  </si>
  <si>
    <t xml:space="preserve">H4: wind-favoured (solar pinned 150-200 MW)</t>
  </si>
  <si>
    <t xml:space="preserve">{'wind_mw': 80.8, 'solar_ac_mw': 171.9, 'bess_power_mw': 330.8, 'bess_energy_mwh': 1144.1, 'contracted_capacity_mw': 120.0}</t>
  </si>
  <si>
    <t xml:space="preserve">Ordering observed: H1 (5.6185) ~= H2 (5.6188) &lt; H3 (5.7319) &lt;&lt; H4 (9.3716). H1 vs H2 differ by 0.0003 = bisection tolerance.</t>
  </si>
  <si>
    <t xml:space="preserve">Note: "Fast" evaluates only ~7-8 candidates (QA finding F2) - orderings hold here, but use Thorough effort for decision-grade optima.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</si>
</sst>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00"/>
    <numFmt numFmtId="167" formatCode="0.000"/>
    <numFmt numFmtId="168" formatCode="#,##0"/>
    <numFmt numFmtId="169" formatCode="\+0.0000;\-0.0000;&quot;base&quot;"/>
    <numFmt numFmtId="170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1" t="s">
        <v>0</v>
      </c>
      <c r="B1" s="2"/>
      <c r="C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4" t="s">
        <v>20</v>
      </c>
    </row>
    <row r="25" customFormat="false" ht="15" hidden="false" customHeight="false" outlineLevel="0" collapsed="false">
      <c r="A25" s="4" t="s">
        <v>21</v>
      </c>
    </row>
    <row r="26" customFormat="false" ht="1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5" t="s">
        <v>23</v>
      </c>
    </row>
    <row r="29" customFormat="false" ht="15" hidden="false" customHeight="false" outlineLevel="0" collapsed="false">
      <c r="A29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0" min="10" style="0" width="40"/>
    <col collapsed="false" customWidth="true" hidden="false" outlineLevel="0" max="11" min="11" style="0" width="9"/>
  </cols>
  <sheetData>
    <row r="1" customFormat="false" ht="16.15" hidden="false" customHeight="false" outlineLevel="0" collapsed="false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</row>
    <row r="3" customFormat="false" ht="15" hidden="false" customHeight="false" outlineLevel="0" collapsed="false">
      <c r="A3" s="7" t="s">
        <v>37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23.85" hidden="false" customHeight="false" outlineLevel="0" collapsed="false">
      <c r="A4" s="9"/>
      <c r="B4" s="9" t="s">
        <v>38</v>
      </c>
      <c r="C4" s="10" t="n">
        <v>0.08</v>
      </c>
      <c r="D4" s="11" t="n">
        <v>5.6188</v>
      </c>
      <c r="E4" s="10" t="n">
        <v>0.1402</v>
      </c>
      <c r="F4" s="12" t="n">
        <v>1.1</v>
      </c>
      <c r="G4" s="9" t="s">
        <v>39</v>
      </c>
      <c r="H4" s="13" t="n">
        <v>2557.3</v>
      </c>
      <c r="I4" s="14" t="n">
        <f aca="false">D4-D$4</f>
        <v>0</v>
      </c>
      <c r="J4" s="15" t="s">
        <v>40</v>
      </c>
      <c r="K4" s="16" t="s">
        <v>41</v>
      </c>
    </row>
    <row r="5" customFormat="false" ht="15" hidden="false" customHeight="false" outlineLevel="0" collapsed="false">
      <c r="A5" s="17"/>
      <c r="B5" s="17" t="s">
        <v>38</v>
      </c>
      <c r="C5" s="18" t="n">
        <v>0.1</v>
      </c>
      <c r="D5" s="19" t="n">
        <v>5.6188</v>
      </c>
      <c r="E5" s="18" t="n">
        <v>0.1402</v>
      </c>
      <c r="F5" s="20" t="n">
        <v>1.1</v>
      </c>
      <c r="G5" s="17" t="s">
        <v>39</v>
      </c>
      <c r="H5" s="21" t="n">
        <v>2557.3</v>
      </c>
      <c r="I5" s="22" t="n">
        <f aca="false">D5-D$4</f>
        <v>0</v>
      </c>
      <c r="J5" s="23"/>
      <c r="K5" s="23"/>
    </row>
    <row r="6" customFormat="false" ht="15" hidden="false" customHeight="false" outlineLevel="0" collapsed="false">
      <c r="A6" s="17"/>
      <c r="B6" s="17" t="s">
        <v>38</v>
      </c>
      <c r="C6" s="18" t="n">
        <v>0.12</v>
      </c>
      <c r="D6" s="19" t="n">
        <v>5.6188</v>
      </c>
      <c r="E6" s="18" t="n">
        <v>0.1402</v>
      </c>
      <c r="F6" s="20" t="n">
        <v>1.1</v>
      </c>
      <c r="G6" s="17" t="s">
        <v>39</v>
      </c>
      <c r="H6" s="21" t="n">
        <v>2557.3</v>
      </c>
      <c r="I6" s="22" t="n">
        <f aca="false">D6-D$4</f>
        <v>0</v>
      </c>
      <c r="J6" s="23"/>
      <c r="K6" s="23"/>
    </row>
    <row r="7" customFormat="false" ht="15" hidden="false" customHeight="false" outlineLevel="0" collapsed="false">
      <c r="A7" s="17"/>
      <c r="B7" s="17" t="s">
        <v>38</v>
      </c>
      <c r="C7" s="18" t="n">
        <v>0.14</v>
      </c>
      <c r="D7" s="19" t="n">
        <v>5.6188</v>
      </c>
      <c r="E7" s="18" t="n">
        <v>0.1402</v>
      </c>
      <c r="F7" s="20" t="n">
        <v>1.1</v>
      </c>
      <c r="G7" s="17" t="s">
        <v>39</v>
      </c>
      <c r="H7" s="21" t="n">
        <v>2557.3</v>
      </c>
      <c r="I7" s="22" t="n">
        <f aca="false">D7-D$4</f>
        <v>0</v>
      </c>
      <c r="J7" s="23"/>
      <c r="K7" s="23"/>
    </row>
    <row r="8" customFormat="false" ht="15" hidden="false" customHeight="false" outlineLevel="0" collapsed="false">
      <c r="A8" s="17"/>
      <c r="B8" s="17" t="s">
        <v>38</v>
      </c>
      <c r="C8" s="18" t="n">
        <v>0.16</v>
      </c>
      <c r="D8" s="19" t="n">
        <v>5.8336</v>
      </c>
      <c r="E8" s="18" t="n">
        <v>0.16</v>
      </c>
      <c r="F8" s="20" t="n">
        <v>1.1488</v>
      </c>
      <c r="G8" s="17" t="s">
        <v>42</v>
      </c>
      <c r="H8" s="21" t="n">
        <v>2557.3</v>
      </c>
      <c r="I8" s="22" t="n">
        <f aca="false">D8-D$4</f>
        <v>0.214799999999999</v>
      </c>
      <c r="J8" s="23"/>
      <c r="K8" s="23"/>
    </row>
    <row r="9" customFormat="false" ht="15" hidden="false" customHeight="false" outlineLevel="0" collapsed="false">
      <c r="A9" s="17"/>
      <c r="B9" s="17" t="s">
        <v>38</v>
      </c>
      <c r="C9" s="18" t="n">
        <v>0.18</v>
      </c>
      <c r="D9" s="19" t="n">
        <v>6.0518</v>
      </c>
      <c r="E9" s="18" t="n">
        <v>0.18</v>
      </c>
      <c r="F9" s="20" t="n">
        <v>1.1984</v>
      </c>
      <c r="G9" s="17" t="s">
        <v>42</v>
      </c>
      <c r="H9" s="21" t="n">
        <v>2557.3</v>
      </c>
      <c r="I9" s="22" t="n">
        <f aca="false">D9-D$4</f>
        <v>0.433</v>
      </c>
      <c r="J9" s="23"/>
      <c r="K9" s="23"/>
    </row>
    <row r="10" customFormat="false" ht="15" hidden="false" customHeight="false" outlineLevel="0" collapsed="false">
      <c r="A10" s="7" t="s">
        <v>43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23.85" hidden="false" customHeight="false" outlineLevel="0" collapsed="false">
      <c r="A11" s="17"/>
      <c r="B11" s="17" t="s">
        <v>38</v>
      </c>
      <c r="C11" s="18" t="n">
        <v>0.08</v>
      </c>
      <c r="D11" s="19" t="n">
        <v>4.9523</v>
      </c>
      <c r="E11" s="18" t="n">
        <v>0.08</v>
      </c>
      <c r="F11" s="20" t="n">
        <v>1.0347</v>
      </c>
      <c r="G11" s="17" t="s">
        <v>42</v>
      </c>
      <c r="H11" s="21" t="n">
        <v>2557.3</v>
      </c>
      <c r="I11" s="23"/>
      <c r="J11" s="24" t="s">
        <v>44</v>
      </c>
      <c r="K11" s="25" t="s">
        <v>41</v>
      </c>
    </row>
    <row r="12" customFormat="false" ht="15" hidden="false" customHeight="false" outlineLevel="0" collapsed="false">
      <c r="A12" s="17"/>
      <c r="B12" s="17" t="s">
        <v>38</v>
      </c>
      <c r="C12" s="18" t="n">
        <v>0.1</v>
      </c>
      <c r="D12" s="19" t="n">
        <v>5.1792</v>
      </c>
      <c r="E12" s="18" t="n">
        <v>0.1</v>
      </c>
      <c r="F12" s="20" t="n">
        <v>1.0001</v>
      </c>
      <c r="G12" s="17" t="s">
        <v>42</v>
      </c>
      <c r="H12" s="21" t="n">
        <v>2557.3</v>
      </c>
      <c r="I12" s="23"/>
      <c r="J12" s="23"/>
      <c r="K12" s="23"/>
    </row>
    <row r="13" customFormat="false" ht="15" hidden="false" customHeight="false" outlineLevel="0" collapsed="false">
      <c r="A13" s="17"/>
      <c r="B13" s="17" t="s">
        <v>38</v>
      </c>
      <c r="C13" s="18" t="n">
        <v>0.12</v>
      </c>
      <c r="D13" s="19" t="n">
        <v>5.3996</v>
      </c>
      <c r="E13" s="18" t="n">
        <v>0.12</v>
      </c>
      <c r="F13" s="20" t="n">
        <v>1.0502</v>
      </c>
      <c r="G13" s="17" t="s">
        <v>42</v>
      </c>
      <c r="H13" s="21" t="n">
        <v>2557.3</v>
      </c>
      <c r="I13" s="23"/>
      <c r="J13" s="23"/>
      <c r="K13" s="23"/>
    </row>
    <row r="14" customFormat="false" ht="15" hidden="false" customHeight="false" outlineLevel="0" collapsed="false">
      <c r="A14" s="17"/>
      <c r="B14" s="17" t="s">
        <v>38</v>
      </c>
      <c r="C14" s="18" t="n">
        <v>0.14</v>
      </c>
      <c r="D14" s="19" t="n">
        <v>5.6169</v>
      </c>
      <c r="E14" s="18" t="n">
        <v>0.14</v>
      </c>
      <c r="F14" s="20" t="n">
        <v>1.0996</v>
      </c>
      <c r="G14" s="17" t="s">
        <v>42</v>
      </c>
      <c r="H14" s="21" t="n">
        <v>2557.3</v>
      </c>
      <c r="I14" s="23"/>
      <c r="J14" s="23"/>
      <c r="K14" s="23"/>
    </row>
    <row r="15" customFormat="false" ht="15" hidden="false" customHeight="false" outlineLevel="0" collapsed="false">
      <c r="A15" s="17"/>
      <c r="B15" s="17" t="s">
        <v>38</v>
      </c>
      <c r="C15" s="18" t="n">
        <v>0.16</v>
      </c>
      <c r="D15" s="19" t="n">
        <v>5.8336</v>
      </c>
      <c r="E15" s="18" t="n">
        <v>0.16</v>
      </c>
      <c r="F15" s="20" t="n">
        <v>1.1488</v>
      </c>
      <c r="G15" s="17" t="s">
        <v>42</v>
      </c>
      <c r="H15" s="21" t="n">
        <v>2557.3</v>
      </c>
      <c r="I15" s="23"/>
      <c r="J15" s="23"/>
      <c r="K15" s="23"/>
    </row>
    <row r="16" customFormat="false" ht="15" hidden="false" customHeight="false" outlineLevel="0" collapsed="false">
      <c r="A16" s="17"/>
      <c r="B16" s="17" t="s">
        <v>38</v>
      </c>
      <c r="C16" s="18" t="n">
        <v>0.18</v>
      </c>
      <c r="D16" s="19" t="n">
        <v>6.0518</v>
      </c>
      <c r="E16" s="18" t="n">
        <v>0.18</v>
      </c>
      <c r="F16" s="20" t="n">
        <v>1.1984</v>
      </c>
      <c r="G16" s="17" t="s">
        <v>42</v>
      </c>
      <c r="H16" s="21" t="n">
        <v>2557.3</v>
      </c>
      <c r="I16" s="23"/>
      <c r="J16" s="23"/>
      <c r="K16" s="23"/>
    </row>
    <row r="17" customFormat="false" ht="15" hidden="false" customHeight="false" outlineLevel="0" collapsed="false">
      <c r="A17" s="7" t="s">
        <v>45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17"/>
      <c r="B18" s="17" t="s">
        <v>46</v>
      </c>
      <c r="C18" s="18" t="n">
        <v>1</v>
      </c>
      <c r="D18" s="19" t="n">
        <v>5.6169</v>
      </c>
      <c r="E18" s="18" t="n">
        <v>0.14</v>
      </c>
      <c r="F18" s="20" t="n">
        <v>1.0996</v>
      </c>
      <c r="G18" s="17" t="s">
        <v>42</v>
      </c>
      <c r="H18" s="21" t="n">
        <v>2557.3</v>
      </c>
      <c r="I18" s="22" t="n">
        <f aca="false">D18-D$19</f>
        <v>-0.00190000000000001</v>
      </c>
      <c r="J18" s="24" t="s">
        <v>47</v>
      </c>
      <c r="K18" s="25" t="s">
        <v>41</v>
      </c>
    </row>
    <row r="19" customFormat="false" ht="15" hidden="false" customHeight="false" outlineLevel="0" collapsed="false">
      <c r="A19" s="9"/>
      <c r="B19" s="9" t="s">
        <v>46</v>
      </c>
      <c r="C19" s="10" t="n">
        <v>1.1</v>
      </c>
      <c r="D19" s="11" t="n">
        <v>5.6188</v>
      </c>
      <c r="E19" s="10" t="n">
        <v>0.1402</v>
      </c>
      <c r="F19" s="12" t="n">
        <v>1.1</v>
      </c>
      <c r="G19" s="9" t="s">
        <v>39</v>
      </c>
      <c r="H19" s="13" t="n">
        <v>2557.3</v>
      </c>
      <c r="I19" s="14" t="n">
        <f aca="false">D19-D$19</f>
        <v>0</v>
      </c>
      <c r="J19" s="26"/>
      <c r="K19" s="26"/>
    </row>
    <row r="20" customFormat="false" ht="15" hidden="false" customHeight="false" outlineLevel="0" collapsed="false">
      <c r="A20" s="17"/>
      <c r="B20" s="17" t="s">
        <v>46</v>
      </c>
      <c r="C20" s="18" t="n">
        <v>1.2</v>
      </c>
      <c r="D20" s="19" t="n">
        <v>6.0588</v>
      </c>
      <c r="E20" s="18" t="n">
        <v>0.1806</v>
      </c>
      <c r="F20" s="20" t="n">
        <v>1.2</v>
      </c>
      <c r="G20" s="17" t="s">
        <v>39</v>
      </c>
      <c r="H20" s="21" t="n">
        <v>2557.3</v>
      </c>
      <c r="I20" s="22" t="n">
        <f aca="false">D20-D$19</f>
        <v>0.44</v>
      </c>
      <c r="J20" s="23"/>
      <c r="K20" s="23"/>
    </row>
    <row r="21" customFormat="false" ht="15" hidden="false" customHeight="false" outlineLevel="0" collapsed="false">
      <c r="A21" s="17"/>
      <c r="B21" s="17" t="s">
        <v>46</v>
      </c>
      <c r="C21" s="18" t="n">
        <v>1.3</v>
      </c>
      <c r="D21" s="19" t="n">
        <v>6.4989</v>
      </c>
      <c r="E21" s="18" t="n">
        <v>0.2196</v>
      </c>
      <c r="F21" s="20" t="n">
        <v>1.3</v>
      </c>
      <c r="G21" s="17" t="s">
        <v>39</v>
      </c>
      <c r="H21" s="21" t="n">
        <v>2557.3</v>
      </c>
      <c r="I21" s="22" t="n">
        <f aca="false">D21-D$19</f>
        <v>0.8801</v>
      </c>
      <c r="J21" s="23"/>
      <c r="K21" s="23"/>
    </row>
    <row r="22" customFormat="false" ht="15" hidden="false" customHeight="false" outlineLevel="0" collapsed="false">
      <c r="A22" s="7" t="s">
        <v>48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false" outlineLevel="0" collapsed="false">
      <c r="A23" s="17"/>
      <c r="B23" s="17" t="s">
        <v>49</v>
      </c>
      <c r="C23" s="27" t="n">
        <v>2.6</v>
      </c>
      <c r="D23" s="19" t="n">
        <v>5.3072</v>
      </c>
      <c r="E23" s="18" t="n">
        <v>0.1401</v>
      </c>
      <c r="F23" s="20" t="n">
        <v>1.1</v>
      </c>
      <c r="G23" s="17" t="s">
        <v>39</v>
      </c>
      <c r="H23" s="21" t="n">
        <v>2393.1</v>
      </c>
      <c r="I23" s="22" t="n">
        <f aca="false">D23-D$24</f>
        <v>-0.3116</v>
      </c>
      <c r="J23" s="24" t="s">
        <v>50</v>
      </c>
      <c r="K23" s="25" t="s">
        <v>41</v>
      </c>
    </row>
    <row r="24" customFormat="false" ht="15" hidden="false" customHeight="false" outlineLevel="0" collapsed="false">
      <c r="A24" s="9"/>
      <c r="B24" s="9" t="s">
        <v>49</v>
      </c>
      <c r="C24" s="28" t="n">
        <v>3.1</v>
      </c>
      <c r="D24" s="11" t="n">
        <v>5.6188</v>
      </c>
      <c r="E24" s="10" t="n">
        <v>0.1402</v>
      </c>
      <c r="F24" s="12" t="n">
        <v>1.1</v>
      </c>
      <c r="G24" s="9" t="s">
        <v>39</v>
      </c>
      <c r="H24" s="13" t="n">
        <v>2557.3</v>
      </c>
      <c r="I24" s="14" t="n">
        <f aca="false">D24-D$24</f>
        <v>0</v>
      </c>
      <c r="J24" s="26"/>
      <c r="K24" s="26"/>
    </row>
    <row r="25" customFormat="false" ht="15" hidden="false" customHeight="false" outlineLevel="0" collapsed="false">
      <c r="A25" s="17"/>
      <c r="B25" s="17" t="s">
        <v>49</v>
      </c>
      <c r="C25" s="27" t="n">
        <v>3.6</v>
      </c>
      <c r="D25" s="19" t="n">
        <v>5.9303</v>
      </c>
      <c r="E25" s="18" t="n">
        <v>0.1402</v>
      </c>
      <c r="F25" s="20" t="n">
        <v>1.1</v>
      </c>
      <c r="G25" s="17" t="s">
        <v>39</v>
      </c>
      <c r="H25" s="21" t="n">
        <v>2721.4</v>
      </c>
      <c r="I25" s="22" t="n">
        <f aca="false">D25-D$24</f>
        <v>0.3115</v>
      </c>
      <c r="J25" s="23"/>
      <c r="K25" s="23"/>
    </row>
    <row r="26" customFormat="false" ht="15" hidden="false" customHeight="false" outlineLevel="0" collapsed="false">
      <c r="A26" s="7" t="s">
        <v>51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ustomFormat="false" ht="15" hidden="false" customHeight="false" outlineLevel="0" collapsed="false">
      <c r="A27" s="17"/>
      <c r="B27" s="17" t="s">
        <v>52</v>
      </c>
      <c r="C27" s="27" t="n">
        <v>5.5</v>
      </c>
      <c r="D27" s="19" t="n">
        <v>5.5533</v>
      </c>
      <c r="E27" s="18" t="n">
        <v>0.1402</v>
      </c>
      <c r="F27" s="20" t="n">
        <v>1.1</v>
      </c>
      <c r="G27" s="17" t="s">
        <v>39</v>
      </c>
      <c r="H27" s="21" t="n">
        <v>2522.8</v>
      </c>
      <c r="I27" s="22" t="n">
        <f aca="false">D27-D$28</f>
        <v>-0.0655000000000001</v>
      </c>
      <c r="J27" s="24" t="s">
        <v>50</v>
      </c>
      <c r="K27" s="25" t="s">
        <v>41</v>
      </c>
    </row>
    <row r="28" customFormat="false" ht="15" hidden="false" customHeight="false" outlineLevel="0" collapsed="false">
      <c r="A28" s="9"/>
      <c r="B28" s="9" t="s">
        <v>52</v>
      </c>
      <c r="C28" s="28" t="n">
        <v>6.5</v>
      </c>
      <c r="D28" s="11" t="n">
        <v>5.6188</v>
      </c>
      <c r="E28" s="10" t="n">
        <v>0.1402</v>
      </c>
      <c r="F28" s="12" t="n">
        <v>1.1</v>
      </c>
      <c r="G28" s="9" t="s">
        <v>39</v>
      </c>
      <c r="H28" s="13" t="n">
        <v>2557.3</v>
      </c>
      <c r="I28" s="14" t="n">
        <f aca="false">D28-D$28</f>
        <v>0</v>
      </c>
      <c r="J28" s="26"/>
      <c r="K28" s="26"/>
    </row>
    <row r="29" customFormat="false" ht="15" hidden="false" customHeight="false" outlineLevel="0" collapsed="false">
      <c r="A29" s="17"/>
      <c r="B29" s="17" t="s">
        <v>52</v>
      </c>
      <c r="C29" s="27" t="n">
        <v>7.5</v>
      </c>
      <c r="D29" s="19" t="n">
        <v>5.6842</v>
      </c>
      <c r="E29" s="18" t="n">
        <v>0.1402</v>
      </c>
      <c r="F29" s="20" t="n">
        <v>1.1</v>
      </c>
      <c r="G29" s="17" t="s">
        <v>39</v>
      </c>
      <c r="H29" s="21" t="n">
        <v>2591.7</v>
      </c>
      <c r="I29" s="22" t="n">
        <f aca="false">D29-D$28</f>
        <v>0.0653999999999995</v>
      </c>
      <c r="J29" s="23"/>
      <c r="K29" s="23"/>
    </row>
    <row r="30" customFormat="false" ht="15" hidden="false" customHeight="false" outlineLevel="0" collapsed="false">
      <c r="A30" s="7" t="s">
        <v>53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customFormat="false" ht="15" hidden="false" customHeight="false" outlineLevel="0" collapsed="false">
      <c r="A31" s="17"/>
      <c r="B31" s="17" t="s">
        <v>54</v>
      </c>
      <c r="C31" s="18" t="n">
        <v>0.9</v>
      </c>
      <c r="D31" s="19" t="n">
        <v>5.3114</v>
      </c>
      <c r="E31" s="18" t="n">
        <v>0.1401</v>
      </c>
      <c r="F31" s="20" t="n">
        <v>1.1</v>
      </c>
      <c r="G31" s="17" t="s">
        <v>39</v>
      </c>
      <c r="H31" s="21" t="n">
        <v>2395.3</v>
      </c>
      <c r="I31" s="22" t="n">
        <f aca="false">D31-D$32</f>
        <v>-0.3074</v>
      </c>
      <c r="J31" s="24" t="s">
        <v>50</v>
      </c>
      <c r="K31" s="25" t="s">
        <v>41</v>
      </c>
    </row>
    <row r="32" customFormat="false" ht="15" hidden="false" customHeight="false" outlineLevel="0" collapsed="false">
      <c r="A32" s="9"/>
      <c r="B32" s="9" t="s">
        <v>54</v>
      </c>
      <c r="C32" s="10" t="n">
        <v>1.1</v>
      </c>
      <c r="D32" s="11" t="n">
        <v>5.6188</v>
      </c>
      <c r="E32" s="10" t="n">
        <v>0.1402</v>
      </c>
      <c r="F32" s="12" t="n">
        <v>1.1</v>
      </c>
      <c r="G32" s="9" t="s">
        <v>39</v>
      </c>
      <c r="H32" s="13" t="n">
        <v>2557.3</v>
      </c>
      <c r="I32" s="14" t="n">
        <f aca="false">D32-D$32</f>
        <v>0</v>
      </c>
      <c r="J32" s="26"/>
      <c r="K32" s="26"/>
    </row>
    <row r="33" customFormat="false" ht="15" hidden="false" customHeight="false" outlineLevel="0" collapsed="false">
      <c r="A33" s="17"/>
      <c r="B33" s="17" t="s">
        <v>54</v>
      </c>
      <c r="C33" s="18" t="n">
        <v>1.3</v>
      </c>
      <c r="D33" s="19" t="n">
        <v>5.9262</v>
      </c>
      <c r="E33" s="18" t="n">
        <v>0.1402</v>
      </c>
      <c r="F33" s="20" t="n">
        <v>1.1</v>
      </c>
      <c r="G33" s="17" t="s">
        <v>39</v>
      </c>
      <c r="H33" s="21" t="n">
        <v>2719.2</v>
      </c>
      <c r="I33" s="22" t="n">
        <f aca="false">D33-D$32</f>
        <v>0.307399999999999</v>
      </c>
      <c r="J33" s="23"/>
      <c r="K33" s="23"/>
    </row>
    <row r="34" customFormat="false" ht="15" hidden="false" customHeight="false" outlineLevel="0" collapsed="false">
      <c r="A34" s="7" t="s">
        <v>55</v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customFormat="false" ht="15" hidden="false" customHeight="false" outlineLevel="0" collapsed="false">
      <c r="A35" s="17"/>
      <c r="B35" s="17" t="s">
        <v>56</v>
      </c>
      <c r="C35" s="18" t="n">
        <v>0.0775</v>
      </c>
      <c r="D35" s="19" t="n">
        <v>5.3819</v>
      </c>
      <c r="E35" s="18" t="n">
        <v>0.14</v>
      </c>
      <c r="F35" s="20" t="n">
        <v>1.1241</v>
      </c>
      <c r="G35" s="17" t="s">
        <v>42</v>
      </c>
      <c r="H35" s="21" t="n">
        <v>2540.6</v>
      </c>
      <c r="I35" s="22" t="n">
        <f aca="false">D35-D$36</f>
        <v>-0.2369</v>
      </c>
      <c r="J35" s="24" t="s">
        <v>57</v>
      </c>
      <c r="K35" s="25" t="s">
        <v>41</v>
      </c>
    </row>
    <row r="36" customFormat="false" ht="15" hidden="false" customHeight="false" outlineLevel="0" collapsed="false">
      <c r="A36" s="9"/>
      <c r="B36" s="9" t="s">
        <v>56</v>
      </c>
      <c r="C36" s="10" t="n">
        <v>0.0875</v>
      </c>
      <c r="D36" s="11" t="n">
        <v>5.6188</v>
      </c>
      <c r="E36" s="10" t="n">
        <v>0.1402</v>
      </c>
      <c r="F36" s="12" t="n">
        <v>1.1</v>
      </c>
      <c r="G36" s="9" t="s">
        <v>39</v>
      </c>
      <c r="H36" s="13" t="n">
        <v>2557.3</v>
      </c>
      <c r="I36" s="14" t="n">
        <f aca="false">D36-D$36</f>
        <v>0</v>
      </c>
      <c r="J36" s="26"/>
      <c r="K36" s="26"/>
    </row>
    <row r="37" customFormat="false" ht="15" hidden="false" customHeight="false" outlineLevel="0" collapsed="false">
      <c r="A37" s="17"/>
      <c r="B37" s="17" t="s">
        <v>56</v>
      </c>
      <c r="C37" s="18" t="n">
        <v>0.0975</v>
      </c>
      <c r="D37" s="19" t="n">
        <v>5.9657</v>
      </c>
      <c r="E37" s="18" t="n">
        <v>0.1496</v>
      </c>
      <c r="F37" s="20" t="n">
        <v>1.1</v>
      </c>
      <c r="G37" s="17" t="s">
        <v>39</v>
      </c>
      <c r="H37" s="21" t="n">
        <v>2573.8</v>
      </c>
      <c r="I37" s="22" t="n">
        <f aca="false">D37-D$36</f>
        <v>0.3469</v>
      </c>
      <c r="J37" s="23"/>
      <c r="K37" s="23"/>
    </row>
    <row r="38" customFormat="false" ht="15" hidden="false" customHeight="false" outlineLevel="0" collapsed="false">
      <c r="A38" s="7" t="s">
        <v>58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23.85" hidden="false" customHeight="false" outlineLevel="0" collapsed="false">
      <c r="A39" s="17"/>
      <c r="B39" s="17" t="s">
        <v>59</v>
      </c>
      <c r="C39" s="18" t="n">
        <v>0.65</v>
      </c>
      <c r="D39" s="19" t="n">
        <v>5.8208</v>
      </c>
      <c r="E39" s="18" t="n">
        <v>0.14</v>
      </c>
      <c r="F39" s="20" t="n">
        <v>1.3293</v>
      </c>
      <c r="G39" s="17" t="s">
        <v>42</v>
      </c>
      <c r="H39" s="21" t="n">
        <v>2537.2</v>
      </c>
      <c r="I39" s="22" t="n">
        <f aca="false">D39-D$40</f>
        <v>0.202</v>
      </c>
      <c r="J39" s="24" t="s">
        <v>60</v>
      </c>
      <c r="K39" s="25" t="s">
        <v>41</v>
      </c>
    </row>
    <row r="40" customFormat="false" ht="15" hidden="false" customHeight="false" outlineLevel="0" collapsed="false">
      <c r="A40" s="9"/>
      <c r="B40" s="9" t="s">
        <v>59</v>
      </c>
      <c r="C40" s="10" t="n">
        <v>0.75</v>
      </c>
      <c r="D40" s="11" t="n">
        <v>5.6188</v>
      </c>
      <c r="E40" s="10" t="n">
        <v>0.1402</v>
      </c>
      <c r="F40" s="12" t="n">
        <v>1.1</v>
      </c>
      <c r="G40" s="9" t="s">
        <v>39</v>
      </c>
      <c r="H40" s="13" t="n">
        <v>2557.3</v>
      </c>
      <c r="I40" s="14" t="n">
        <f aca="false">D40-D$40</f>
        <v>0</v>
      </c>
      <c r="J40" s="26"/>
      <c r="K40" s="26"/>
    </row>
    <row r="41" customFormat="false" ht="15" hidden="false" customHeight="false" outlineLevel="0" collapsed="false">
      <c r="A41" s="17"/>
      <c r="B41" s="17" t="s">
        <v>59</v>
      </c>
      <c r="C41" s="18" t="n">
        <v>0.8</v>
      </c>
      <c r="D41" s="19" t="n">
        <v>5.9553</v>
      </c>
      <c r="E41" s="18" t="n">
        <v>0.1897</v>
      </c>
      <c r="F41" s="20" t="n">
        <v>1.1</v>
      </c>
      <c r="G41" s="17" t="s">
        <v>39</v>
      </c>
      <c r="H41" s="21" t="n">
        <v>2567.3</v>
      </c>
      <c r="I41" s="22" t="n">
        <f aca="false">D41-D$40</f>
        <v>0.3365</v>
      </c>
      <c r="J41" s="23"/>
      <c r="K41" s="23"/>
    </row>
    <row r="42" customFormat="false" ht="15" hidden="false" customHeight="false" outlineLevel="0" collapsed="false">
      <c r="A42" s="7" t="s">
        <v>61</v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false" outlineLevel="0" collapsed="false">
      <c r="A43" s="17"/>
      <c r="B43" s="17" t="s">
        <v>62</v>
      </c>
      <c r="C43" s="27" t="n">
        <v>2.5</v>
      </c>
      <c r="D43" s="19" t="n">
        <v>5.6543</v>
      </c>
      <c r="E43" s="18" t="n">
        <v>0.14</v>
      </c>
      <c r="F43" s="20" t="n">
        <v>1.1001</v>
      </c>
      <c r="G43" s="17" t="s">
        <v>42</v>
      </c>
      <c r="H43" s="21" t="n">
        <v>2557.3</v>
      </c>
      <c r="I43" s="22" t="n">
        <f aca="false">D43-D$44</f>
        <v>0.0354999999999999</v>
      </c>
      <c r="J43" s="24" t="s">
        <v>63</v>
      </c>
      <c r="K43" s="25" t="s">
        <v>41</v>
      </c>
    </row>
    <row r="44" customFormat="false" ht="15" hidden="false" customHeight="false" outlineLevel="0" collapsed="false">
      <c r="A44" s="9"/>
      <c r="B44" s="9" t="s">
        <v>62</v>
      </c>
      <c r="C44" s="28" t="n">
        <v>3.25</v>
      </c>
      <c r="D44" s="11" t="n">
        <v>5.6188</v>
      </c>
      <c r="E44" s="10" t="n">
        <v>0.1402</v>
      </c>
      <c r="F44" s="12" t="n">
        <v>1.1</v>
      </c>
      <c r="G44" s="9" t="s">
        <v>39</v>
      </c>
      <c r="H44" s="13" t="n">
        <v>2557.3</v>
      </c>
      <c r="I44" s="14" t="n">
        <f aca="false">D44-D$44</f>
        <v>0</v>
      </c>
      <c r="J44" s="26"/>
      <c r="K44" s="26"/>
    </row>
    <row r="45" customFormat="false" ht="15" hidden="false" customHeight="false" outlineLevel="0" collapsed="false">
      <c r="A45" s="17"/>
      <c r="B45" s="17" t="s">
        <v>62</v>
      </c>
      <c r="C45" s="27" t="n">
        <v>4</v>
      </c>
      <c r="D45" s="19" t="n">
        <v>5.5836</v>
      </c>
      <c r="E45" s="18" t="n">
        <v>0.1404</v>
      </c>
      <c r="F45" s="20" t="n">
        <v>1.1</v>
      </c>
      <c r="G45" s="17" t="s">
        <v>39</v>
      </c>
      <c r="H45" s="21" t="n">
        <v>2557.3</v>
      </c>
      <c r="I45" s="22" t="n">
        <f aca="false">D45-D$44</f>
        <v>-0.0352000000000006</v>
      </c>
      <c r="J45" s="23"/>
      <c r="K45" s="23"/>
    </row>
    <row r="46" customFormat="false" ht="15" hidden="false" customHeight="false" outlineLevel="0" collapsed="false">
      <c r="A46" s="7" t="s">
        <v>64</v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customFormat="false" ht="23.85" hidden="false" customHeight="false" outlineLevel="0" collapsed="false">
      <c r="A47" s="17"/>
      <c r="B47" s="17" t="s">
        <v>65</v>
      </c>
      <c r="C47" s="27" t="n">
        <v>240</v>
      </c>
      <c r="D47" s="19" t="n">
        <v>6.0652</v>
      </c>
      <c r="E47" s="18" t="n">
        <v>0.1433</v>
      </c>
      <c r="F47" s="20" t="n">
        <v>1.1</v>
      </c>
      <c r="G47" s="17" t="s">
        <v>39</v>
      </c>
      <c r="H47" s="21" t="n">
        <v>2353.7</v>
      </c>
      <c r="I47" s="22" t="n">
        <f aca="false">D47-D$48</f>
        <v>0.4464</v>
      </c>
      <c r="J47" s="24" t="s">
        <v>66</v>
      </c>
      <c r="K47" s="25" t="s">
        <v>41</v>
      </c>
    </row>
    <row r="48" customFormat="false" ht="15" hidden="false" customHeight="false" outlineLevel="0" collapsed="false">
      <c r="A48" s="9"/>
      <c r="B48" s="9" t="s">
        <v>65</v>
      </c>
      <c r="C48" s="28" t="n">
        <v>300</v>
      </c>
      <c r="D48" s="11" t="n">
        <v>5.6188</v>
      </c>
      <c r="E48" s="10" t="n">
        <v>0.1402</v>
      </c>
      <c r="F48" s="12" t="n">
        <v>1.1</v>
      </c>
      <c r="G48" s="9" t="s">
        <v>39</v>
      </c>
      <c r="H48" s="13" t="n">
        <v>2557.3</v>
      </c>
      <c r="I48" s="14" t="n">
        <f aca="false">D48-D$48</f>
        <v>0</v>
      </c>
      <c r="J48" s="26"/>
      <c r="K48" s="26"/>
    </row>
    <row r="49" customFormat="false" ht="15" hidden="false" customHeight="false" outlineLevel="0" collapsed="false">
      <c r="A49" s="17"/>
      <c r="B49" s="17" t="s">
        <v>65</v>
      </c>
      <c r="C49" s="27" t="n">
        <v>360</v>
      </c>
      <c r="D49" s="19" t="n">
        <v>5.6069</v>
      </c>
      <c r="E49" s="18" t="n">
        <v>0.14</v>
      </c>
      <c r="F49" s="20" t="n">
        <v>1.1278</v>
      </c>
      <c r="G49" s="17" t="s">
        <v>42</v>
      </c>
      <c r="H49" s="21" t="n">
        <v>2760.8</v>
      </c>
      <c r="I49" s="22" t="n">
        <f aca="false">D49-D$48</f>
        <v>-0.0118999999999998</v>
      </c>
      <c r="J49" s="23"/>
      <c r="K49" s="23"/>
    </row>
    <row r="50" customFormat="false" ht="15" hidden="false" customHeight="false" outlineLevel="0" collapsed="false">
      <c r="A50" s="7" t="s">
        <v>67</v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1" customFormat="false" ht="15" hidden="false" customHeight="false" outlineLevel="0" collapsed="false">
      <c r="A51" s="17"/>
      <c r="B51" s="17" t="s">
        <v>68</v>
      </c>
      <c r="C51" s="27" t="n">
        <v>15</v>
      </c>
      <c r="D51" s="19" t="n">
        <v>5.74</v>
      </c>
      <c r="E51" s="18" t="n">
        <v>0.1425</v>
      </c>
      <c r="F51" s="20" t="n">
        <v>1.1</v>
      </c>
      <c r="G51" s="17" t="s">
        <v>39</v>
      </c>
      <c r="H51" s="21" t="n">
        <v>2439.9</v>
      </c>
      <c r="I51" s="22" t="n">
        <f aca="false">D51-D$52</f>
        <v>0.1212</v>
      </c>
      <c r="J51" s="24" t="s">
        <v>69</v>
      </c>
      <c r="K51" s="25" t="s">
        <v>41</v>
      </c>
    </row>
    <row r="52" customFormat="false" ht="15" hidden="false" customHeight="false" outlineLevel="0" collapsed="false">
      <c r="A52" s="9"/>
      <c r="B52" s="9" t="s">
        <v>68</v>
      </c>
      <c r="C52" s="28" t="n">
        <v>31.5</v>
      </c>
      <c r="D52" s="11" t="n">
        <v>5.6188</v>
      </c>
      <c r="E52" s="10" t="n">
        <v>0.1402</v>
      </c>
      <c r="F52" s="12" t="n">
        <v>1.1</v>
      </c>
      <c r="G52" s="9" t="s">
        <v>39</v>
      </c>
      <c r="H52" s="13" t="n">
        <v>2557.3</v>
      </c>
      <c r="I52" s="14" t="n">
        <f aca="false">D52-D$52</f>
        <v>0</v>
      </c>
      <c r="J52" s="26"/>
      <c r="K52" s="26"/>
    </row>
    <row r="53" customFormat="false" ht="15" hidden="false" customHeight="false" outlineLevel="0" collapsed="false">
      <c r="A53" s="17"/>
      <c r="B53" s="17" t="s">
        <v>68</v>
      </c>
      <c r="C53" s="27" t="n">
        <v>63</v>
      </c>
      <c r="D53" s="19" t="n">
        <v>5.7586</v>
      </c>
      <c r="E53" s="18" t="n">
        <v>0.14</v>
      </c>
      <c r="F53" s="20" t="n">
        <v>1.1228</v>
      </c>
      <c r="G53" s="17" t="s">
        <v>42</v>
      </c>
      <c r="H53" s="21" t="n">
        <v>2781.3</v>
      </c>
      <c r="I53" s="22" t="n">
        <f aca="false">D53-D$52</f>
        <v>0.1398</v>
      </c>
      <c r="J53" s="23"/>
      <c r="K53" s="23"/>
    </row>
    <row r="54" customFormat="false" ht="15" hidden="false" customHeight="false" outlineLevel="0" collapsed="false">
      <c r="A54" s="7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</row>
    <row r="55" customFormat="false" ht="23.85" hidden="false" customHeight="false" outlineLevel="0" collapsed="false">
      <c r="A55" s="17"/>
      <c r="B55" s="17" t="s">
        <v>71</v>
      </c>
      <c r="C55" s="27" t="n">
        <v>592</v>
      </c>
      <c r="D55" s="29" t="s">
        <v>72</v>
      </c>
      <c r="E55" s="23"/>
      <c r="F55" s="23"/>
      <c r="G55" s="23"/>
      <c r="H55" s="23"/>
      <c r="I55" s="23"/>
      <c r="J55" s="24" t="s">
        <v>73</v>
      </c>
      <c r="K55" s="25" t="s">
        <v>41</v>
      </c>
    </row>
    <row r="56" customFormat="false" ht="15" hidden="false" customHeight="false" outlineLevel="0" collapsed="false">
      <c r="A56" s="9"/>
      <c r="B56" s="9" t="s">
        <v>71</v>
      </c>
      <c r="C56" s="28" t="n">
        <v>740</v>
      </c>
      <c r="D56" s="11" t="n">
        <v>5.6188</v>
      </c>
      <c r="E56" s="10" t="n">
        <v>0.1402</v>
      </c>
      <c r="F56" s="12" t="n">
        <v>1.1</v>
      </c>
      <c r="G56" s="9" t="s">
        <v>39</v>
      </c>
      <c r="H56" s="13" t="n">
        <v>2557.3</v>
      </c>
      <c r="I56" s="14" t="n">
        <f aca="false">D56-D$56</f>
        <v>0</v>
      </c>
      <c r="J56" s="26"/>
      <c r="K56" s="26"/>
    </row>
    <row r="57" customFormat="false" ht="15" hidden="false" customHeight="false" outlineLevel="0" collapsed="false">
      <c r="A57" s="17"/>
      <c r="B57" s="17" t="s">
        <v>71</v>
      </c>
      <c r="C57" s="27" t="n">
        <v>888</v>
      </c>
      <c r="D57" s="19" t="n">
        <v>6.0118</v>
      </c>
      <c r="E57" s="18" t="n">
        <v>0.14</v>
      </c>
      <c r="F57" s="20" t="n">
        <v>1.1108</v>
      </c>
      <c r="G57" s="17" t="s">
        <v>42</v>
      </c>
      <c r="H57" s="21" t="n">
        <v>2735.4</v>
      </c>
      <c r="I57" s="22" t="n">
        <f aca="false">D57-D$56</f>
        <v>0.393</v>
      </c>
      <c r="J57" s="23"/>
      <c r="K57" s="23"/>
    </row>
    <row r="58" customFormat="false" ht="15" hidden="false" customHeight="false" outlineLevel="0" collapsed="false">
      <c r="A58" s="7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</row>
    <row r="59" customFormat="false" ht="23.85" hidden="false" customHeight="false" outlineLevel="0" collapsed="false">
      <c r="A59" s="17"/>
      <c r="B59" s="17" t="s">
        <v>75</v>
      </c>
      <c r="C59" s="27" t="n">
        <v>148</v>
      </c>
      <c r="D59" s="19" t="n">
        <v>5.5219</v>
      </c>
      <c r="E59" s="18" t="n">
        <v>0.14</v>
      </c>
      <c r="F59" s="20" t="n">
        <v>1.1058</v>
      </c>
      <c r="G59" s="17" t="s">
        <v>42</v>
      </c>
      <c r="H59" s="21" t="n">
        <v>2545.1</v>
      </c>
      <c r="I59" s="22" t="n">
        <f aca="false">D59-D$60</f>
        <v>-0.0969000000000007</v>
      </c>
      <c r="J59" s="24" t="s">
        <v>76</v>
      </c>
      <c r="K59" s="25" t="s">
        <v>41</v>
      </c>
    </row>
    <row r="60" customFormat="false" ht="15" hidden="false" customHeight="false" outlineLevel="0" collapsed="false">
      <c r="A60" s="9"/>
      <c r="B60" s="9" t="s">
        <v>75</v>
      </c>
      <c r="C60" s="28" t="n">
        <v>185</v>
      </c>
      <c r="D60" s="11" t="n">
        <v>5.6188</v>
      </c>
      <c r="E60" s="10" t="n">
        <v>0.1402</v>
      </c>
      <c r="F60" s="12" t="n">
        <v>1.1</v>
      </c>
      <c r="G60" s="9" t="s">
        <v>39</v>
      </c>
      <c r="H60" s="13" t="n">
        <v>2557.3</v>
      </c>
      <c r="I60" s="14" t="n">
        <f aca="false">D60-D$60</f>
        <v>0</v>
      </c>
      <c r="J60" s="26"/>
      <c r="K60" s="26"/>
    </row>
    <row r="61" customFormat="false" ht="15" hidden="false" customHeight="false" outlineLevel="0" collapsed="false">
      <c r="A61" s="17"/>
      <c r="B61" s="17" t="s">
        <v>75</v>
      </c>
      <c r="C61" s="27" t="n">
        <v>222</v>
      </c>
      <c r="D61" s="19" t="n">
        <v>5.7096</v>
      </c>
      <c r="E61" s="18" t="n">
        <v>0.14</v>
      </c>
      <c r="F61" s="20" t="n">
        <v>1.1012</v>
      </c>
      <c r="G61" s="17" t="s">
        <v>42</v>
      </c>
      <c r="H61" s="21" t="n">
        <v>2569.4</v>
      </c>
      <c r="I61" s="22" t="n">
        <f aca="false">D61-D$60</f>
        <v>0.0907999999999998</v>
      </c>
      <c r="J61" s="23"/>
      <c r="K61" s="23"/>
    </row>
    <row r="62" customFormat="false" ht="15" hidden="false" customHeight="false" outlineLevel="0" collapsed="false">
      <c r="A62" s="7" t="s">
        <v>77</v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3" customFormat="false" ht="23.85" hidden="false" customHeight="false" outlineLevel="0" collapsed="false">
      <c r="A63" s="17"/>
      <c r="B63" s="17" t="s">
        <v>78</v>
      </c>
      <c r="C63" s="27" t="n">
        <v>160</v>
      </c>
      <c r="D63" s="19" t="n">
        <v>5.8743</v>
      </c>
      <c r="E63" s="18" t="n">
        <v>0.14</v>
      </c>
      <c r="F63" s="20" t="n">
        <v>1.1328</v>
      </c>
      <c r="G63" s="17" t="s">
        <v>42</v>
      </c>
      <c r="H63" s="21" t="n">
        <v>2557</v>
      </c>
      <c r="I63" s="22" t="n">
        <f aca="false">D63-D$64</f>
        <v>0.2555</v>
      </c>
      <c r="J63" s="24" t="s">
        <v>79</v>
      </c>
      <c r="K63" s="25" t="s">
        <v>41</v>
      </c>
    </row>
    <row r="64" customFormat="false" ht="15" hidden="false" customHeight="false" outlineLevel="0" collapsed="false">
      <c r="A64" s="9"/>
      <c r="B64" s="9" t="s">
        <v>78</v>
      </c>
      <c r="C64" s="28" t="n">
        <v>180</v>
      </c>
      <c r="D64" s="11" t="n">
        <v>5.6188</v>
      </c>
      <c r="E64" s="10" t="n">
        <v>0.1402</v>
      </c>
      <c r="F64" s="12" t="n">
        <v>1.1</v>
      </c>
      <c r="G64" s="9" t="s">
        <v>39</v>
      </c>
      <c r="H64" s="13" t="n">
        <v>2557.3</v>
      </c>
      <c r="I64" s="14" t="n">
        <f aca="false">D64-D$64</f>
        <v>0</v>
      </c>
      <c r="J64" s="26"/>
      <c r="K64" s="26"/>
    </row>
    <row r="65" customFormat="false" ht="15" hidden="false" customHeight="false" outlineLevel="0" collapsed="false">
      <c r="A65" s="17"/>
      <c r="B65" s="17" t="s">
        <v>78</v>
      </c>
      <c r="C65" s="27" t="n">
        <v>200</v>
      </c>
      <c r="D65" s="29" t="s">
        <v>72</v>
      </c>
      <c r="E65" s="23"/>
      <c r="F65" s="23"/>
      <c r="G65" s="23"/>
      <c r="H65" s="23"/>
      <c r="I65" s="23"/>
      <c r="J65" s="30" t="s">
        <v>80</v>
      </c>
      <c r="K65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62"/>
    <col collapsed="false" customWidth="true" hidden="false" outlineLevel="0" max="6" min="6" style="0" width="9"/>
  </cols>
  <sheetData>
    <row r="1" customFormat="false" ht="16.15" hidden="false" customHeight="false" outlineLevel="0" collapsed="false">
      <c r="A1" s="1" t="s">
        <v>81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6" t="s">
        <v>82</v>
      </c>
      <c r="B2" s="6" t="s">
        <v>29</v>
      </c>
      <c r="C2" s="6" t="s">
        <v>83</v>
      </c>
      <c r="D2" s="6" t="s">
        <v>84</v>
      </c>
      <c r="E2" s="6" t="s">
        <v>85</v>
      </c>
      <c r="F2" s="6" t="s">
        <v>36</v>
      </c>
    </row>
    <row r="3" customFormat="false" ht="15" hidden="false" customHeight="false" outlineLevel="0" collapsed="false">
      <c r="A3" s="17" t="s">
        <v>86</v>
      </c>
      <c r="B3" s="19" t="n">
        <v>5.6185</v>
      </c>
      <c r="C3" s="25" t="s">
        <v>87</v>
      </c>
      <c r="D3" s="17" t="n">
        <v>7</v>
      </c>
      <c r="E3" s="30" t="s">
        <v>88</v>
      </c>
      <c r="F3" s="25" t="s">
        <v>41</v>
      </c>
    </row>
    <row r="4" customFormat="false" ht="15" hidden="false" customHeight="false" outlineLevel="0" collapsed="false">
      <c r="A4" s="17" t="s">
        <v>89</v>
      </c>
      <c r="B4" s="19" t="n">
        <v>5.6188</v>
      </c>
      <c r="C4" s="25" t="s">
        <v>87</v>
      </c>
      <c r="D4" s="17" t="n">
        <v>7</v>
      </c>
      <c r="E4" s="30" t="s">
        <v>90</v>
      </c>
      <c r="F4" s="25" t="s">
        <v>41</v>
      </c>
    </row>
    <row r="5" customFormat="false" ht="15" hidden="false" customHeight="false" outlineLevel="0" collapsed="false">
      <c r="A5" s="17" t="s">
        <v>91</v>
      </c>
      <c r="B5" s="19" t="n">
        <v>5.7319</v>
      </c>
      <c r="C5" s="25" t="s">
        <v>87</v>
      </c>
      <c r="D5" s="17" t="n">
        <v>7</v>
      </c>
      <c r="E5" s="30" t="s">
        <v>92</v>
      </c>
      <c r="F5" s="25" t="s">
        <v>41</v>
      </c>
    </row>
    <row r="6" customFormat="false" ht="15" hidden="false" customHeight="false" outlineLevel="0" collapsed="false">
      <c r="A6" s="17" t="s">
        <v>93</v>
      </c>
      <c r="B6" s="19" t="n">
        <v>9.3716</v>
      </c>
      <c r="C6" s="25" t="s">
        <v>87</v>
      </c>
      <c r="D6" s="17" t="n">
        <v>7</v>
      </c>
      <c r="E6" s="30" t="s">
        <v>94</v>
      </c>
      <c r="F6" s="25" t="s">
        <v>41</v>
      </c>
    </row>
    <row r="8" customFormat="false" ht="15" hidden="false" customHeight="false" outlineLevel="0" collapsed="false">
      <c r="A8" s="5" t="s">
        <v>95</v>
      </c>
    </row>
    <row r="9" customFormat="false" ht="15" hidden="false" customHeight="false" outlineLevel="0" collapsed="false">
      <c r="A9" s="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2026-07-08T08:31:48Z</dcterms:created>
  <dc:creator>openpyxl</dc:creator>
  <dc:description/>
  <dc:language>en-US</dc:language>
  <cp:lastModifiedBy/>
  <dcterms:modified xsi:type="dcterms:W3CDTF">2026-07-08T08:31:48Z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