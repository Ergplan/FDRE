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apex" sheetId="2" state="visible" r:id="rId4"/>
    <sheet name="Dispatch 25Y" sheetId="3" state="visible" r:id="rId5"/>
    <sheet name="Monthly Y1" sheetId="4" state="visible" r:id="rId6"/>
    <sheet name="Financial Model" sheetId="5" state="visible" r:id="rId7"/>
    <sheet name="Tender Compliance" sheetId="6" state="visible" r:id="rId8"/>
    <sheet name="Valid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<sst xmlns="http://schemas.openxmlformats.org/spreadsheetml/2006/main" count="405" uniqueCount="353">
  <si>
    <t xml:space="preserve">FDRE Bid Financial Model — Assumptions</t>
  </si>
  <si>
    <t xml:space="preserve">NHPC FDRE Tranche-II · 200 MW · Rajasthan portfolio · All cells in BLUE are inputs; YELLOW cells are the solver levers.</t>
  </si>
  <si>
    <t xml:space="preserve">LEGEND &amp; HOW TO USE</t>
  </si>
  <si>
    <t xml:space="preserve">Blue text = hardcoded input · Black = formula · Green = link to another sheet · Yellow fill = key lever.</t>
  </si>
  <si>
    <t xml:space="preserve">To re-derive the bid tariff after changing any assumption: Data ▸ What-If Analysis ▸ Goal Seek —</t>
  </si>
  <si>
    <t xml:space="preserve">  set 'Financial Model'!C68 (Equity IRR) to 0.14 by changing Assumptions!C11 (Bid tariff).</t>
  </si>
  <si>
    <t xml:space="preserve">Then verify 'Financial Model'!C70 Min DSCR ≥ 1.10 (if it binds instead, Goal Seek on C70).</t>
  </si>
  <si>
    <t xml:space="preserve">A. OPTIMIZED BID CONFIGURATION (optimizer output — engine run, seed 42)</t>
  </si>
  <si>
    <t xml:space="preserve">Solar capacity (AC)</t>
  </si>
  <si>
    <t xml:space="preserve">MW</t>
  </si>
  <si>
    <t xml:space="preserve">Optimizer result</t>
  </si>
  <si>
    <t xml:space="preserve">Wind capacity</t>
  </si>
  <si>
    <t xml:space="preserve">BESS power</t>
  </si>
  <si>
    <t xml:space="preserve">BESS energy</t>
  </si>
  <si>
    <t xml:space="preserve">MWh</t>
  </si>
  <si>
    <t xml:space="preserve">Contracted (bid) capacity</t>
  </si>
  <si>
    <t xml:space="preserve">Selected bid capacity</t>
  </si>
  <si>
    <t xml:space="preserve">Bid tariff (levelized)</t>
  </si>
  <si>
    <t xml:space="preserve">Rs/kWh</t>
  </si>
  <si>
    <t xml:space="preserve">REQUIRED TARIFF at declared-value delivery (CUF 40%, availability 90%): lowest tariff meeting IRR &amp; DSCR targets — re-derive via Goal Seek (see legend)</t>
  </si>
  <si>
    <t xml:space="preserve">B. TENDER RULES (NHPC FDRE Tranche-II RfS)</t>
  </si>
  <si>
    <t xml:space="preserve">Declared annual CUF</t>
  </si>
  <si>
    <t xml:space="preserve">RfS: bid declaration, min 40%</t>
  </si>
  <si>
    <t xml:space="preserve">Annual CUF lower tolerance</t>
  </si>
  <si>
    <t xml:space="preserve">RfS: -15% on declared CUF</t>
  </si>
  <si>
    <t xml:space="preserve">Annual CUF upper multiplier</t>
  </si>
  <si>
    <t xml:space="preserve">x</t>
  </si>
  <si>
    <t xml:space="preserve">RfS: NHPC offtake capped at +10%</t>
  </si>
  <si>
    <t xml:space="preserve">PPA offtake target (x declared CUF)</t>
  </si>
  <si>
    <t xml:space="preserve">SCENARIO LEVER: 1.00 = deliver at declared CUF (this case); 1.10 = deliver at the +10% offtake cap (gives Rs 5.58)</t>
  </si>
  <si>
    <t xml:space="preserve">Hours per year (CUF convention)</t>
  </si>
  <si>
    <t xml:space="preserve">h</t>
  </si>
  <si>
    <t xml:space="preserve">RfS LD illustration uses 8,766 h</t>
  </si>
  <si>
    <t xml:space="preserve">Peak availability floor (monthly)</t>
  </si>
  <si>
    <t xml:space="preserve">RfS: 90% of contracted capacity in peak hours</t>
  </si>
  <si>
    <t xml:space="preserve">Peak hours per day</t>
  </si>
  <si>
    <t xml:space="preserve">2 morning (05-10) + 2 evening (18-23), buyer-scheduled</t>
  </si>
  <si>
    <t xml:space="preserve">Liquidated damages multiplier</t>
  </si>
  <si>
    <t xml:space="preserve">x tariff</t>
  </si>
  <si>
    <t xml:space="preserve">Applies to monthly-peak and annual-CUF shortfall</t>
  </si>
  <si>
    <t xml:space="preserve">PSM charge</t>
  </si>
  <si>
    <t xml:space="preserve">Netted from tariff in revenue</t>
  </si>
  <si>
    <t xml:space="preserve">PPA term</t>
  </si>
  <si>
    <t xml:space="preserve">years</t>
  </si>
  <si>
    <t xml:space="preserve">C. RESOURCE &amp; DELIVERED YIELD</t>
  </si>
  <si>
    <t xml:space="preserve">Solar net CUF (P50, base)</t>
  </si>
  <si>
    <t xml:space="preserve">PVsyst — TOPCon bifacial, 1.5 DC/AC</t>
  </si>
  <si>
    <t xml:space="preserve">Wind net CUF (P50, base)</t>
  </si>
  <si>
    <t xml:space="preserve">Project configuration; measured Bikaner data</t>
  </si>
  <si>
    <t xml:space="preserve">Measured-yield calibration factor</t>
  </si>
  <si>
    <t xml:space="preserve">Calibrates synthetic base CUFs to the measured-trace optimizer run that produced the bid (engine seed 42). Change only with new yield studies.</t>
  </si>
  <si>
    <t xml:space="preserve">Delivery efficiency to POI</t>
  </si>
  <si>
    <t xml:space="preserve">BESS cycling losses + spill in firming the peak blocks</t>
  </si>
  <si>
    <t xml:space="preserve">Solar degradation</t>
  </si>
  <si>
    <t xml:space="preserve">/yr</t>
  </si>
  <si>
    <t xml:space="preserve">Wind degradation</t>
  </si>
  <si>
    <t xml:space="preserve">Merchant capture of surplus</t>
  </si>
  <si>
    <t xml:space="preserve">Curtailment haircut and solar-hour price factor on surplus sales</t>
  </si>
  <si>
    <t xml:space="preserve">D. CAPEX UNIT RATES (Rs cr)</t>
  </si>
  <si>
    <t xml:space="preserve">Solar EPC</t>
  </si>
  <si>
    <t xml:space="preserve">cr/MWac</t>
  </si>
  <si>
    <t xml:space="preserve">Project configuration</t>
  </si>
  <si>
    <t xml:space="preserve">Wind EPC</t>
  </si>
  <si>
    <t xml:space="preserve">cr/MW</t>
  </si>
  <si>
    <t xml:space="preserve">cr/MWh</t>
  </si>
  <si>
    <t xml:space="preserve">BESS PCS</t>
  </si>
  <si>
    <t xml:space="preserve">Land &amp; development — lump sum</t>
  </si>
  <si>
    <t xml:space="preserve">cr</t>
  </si>
  <si>
    <t xml:space="preserve">Land — solar</t>
  </si>
  <si>
    <t xml:space="preserve">Land — wind</t>
  </si>
  <si>
    <t xml:space="preserve">Land — BESS</t>
  </si>
  <si>
    <t xml:space="preserve">Transmission — lump sum</t>
  </si>
  <si>
    <t xml:space="preserve">Transmission — per MW (evacuation basis)</t>
  </si>
  <si>
    <t xml:space="preserve">Interconnection limit (3 nodes)</t>
  </si>
  <si>
    <t xml:space="preserve">Fatehgarh 30 + Bikaner III 150 + Bikaner II 100</t>
  </si>
  <si>
    <t xml:space="preserve">Owner's costs — lump sum</t>
  </si>
  <si>
    <t xml:space="preserve">Owner's costs — per MW (all assets)</t>
  </si>
  <si>
    <t xml:space="preserve">Success charge</t>
  </si>
  <si>
    <t xml:space="preserve">lakh/MW +18% GST</t>
  </si>
  <si>
    <t xml:space="preserve">On contracted capacity</t>
  </si>
  <si>
    <t xml:space="preserve">Processing fee (100–250 MW slab)</t>
  </si>
  <si>
    <t xml:space="preserve">lakh +18% GST</t>
  </si>
  <si>
    <t xml:space="preserve">RfS slab</t>
  </si>
  <si>
    <t xml:space="preserve">Contingency</t>
  </si>
  <si>
    <t xml:space="preserve">of base capex</t>
  </si>
  <si>
    <t xml:space="preserve">E. O&amp;M AND OTHER OPEX</t>
  </si>
  <si>
    <t xml:space="preserve">Solar O&amp;M</t>
  </si>
  <si>
    <t xml:space="preserve">lakh/MW/yr</t>
  </si>
  <si>
    <t xml:space="preserve">Wind O&amp;M</t>
  </si>
  <si>
    <t xml:space="preserve">BESS O&amp;M</t>
  </si>
  <si>
    <t xml:space="preserve">lakh/MWh/yr</t>
  </si>
  <si>
    <t xml:space="preserve">Admin — fixed</t>
  </si>
  <si>
    <t xml:space="preserve">cr/yr</t>
  </si>
  <si>
    <t xml:space="preserve">Admin — per MW (all assets)</t>
  </si>
  <si>
    <t xml:space="preserve">Transmission O&amp;M (evacuation basis)</t>
  </si>
  <si>
    <t xml:space="preserve">Insurance</t>
  </si>
  <si>
    <t xml:space="preserve">of hard capex/yr</t>
  </si>
  <si>
    <t xml:space="preserve">O&amp;M escalation</t>
  </si>
  <si>
    <t xml:space="preserve">Transmission loss</t>
  </si>
  <si>
    <t xml:space="preserve">of PPA revenue</t>
  </si>
  <si>
    <t xml:space="preserve">F. FINANCING</t>
  </si>
  <si>
    <t xml:space="preserve">Debt fraction</t>
  </si>
  <si>
    <t xml:space="preserve">of project cost</t>
  </si>
  <si>
    <t xml:space="preserve">Interest rate (long-term debt)</t>
  </si>
  <si>
    <t xml:space="preserve">Debt tenor</t>
  </si>
  <si>
    <t xml:space="preserve">Sculpted repayment (constant DSCR)</t>
  </si>
  <si>
    <t xml:space="preserve">Sculpting DSCR constant</t>
  </si>
  <si>
    <t xml:space="preserve">Sets debt service = CFADS / this constant. Re-solve by Goal Seek: Capex!G31 (closing debt yr-18) to 0 by changing this cell.</t>
  </si>
  <si>
    <t xml:space="preserve">Construction period</t>
  </si>
  <si>
    <t xml:space="preserve">months</t>
  </si>
  <si>
    <t xml:space="preserve">Drawdown — year 1</t>
  </si>
  <si>
    <t xml:space="preserve">Drawdown — year 2</t>
  </si>
  <si>
    <t xml:space="preserve">Target equity IRR</t>
  </si>
  <si>
    <t xml:space="preserve">Bid solve criterion</t>
  </si>
  <si>
    <t xml:space="preserve">Minimum DSCR floor</t>
  </si>
  <si>
    <t xml:space="preserve">Equity discount rate (NPV)</t>
  </si>
  <si>
    <t xml:space="preserve">Receivable days</t>
  </si>
  <si>
    <t xml:space="preserve">days</t>
  </si>
  <si>
    <t xml:space="preserve">Working capital</t>
  </si>
  <si>
    <t xml:space="preserve">Working-capital interest rate</t>
  </si>
  <si>
    <t xml:space="preserve">G. TAX &amp; DEPRECIATION</t>
  </si>
  <si>
    <t xml:space="preserve">Corporate tax rate (Sec 115BAA)</t>
  </si>
  <si>
    <t xml:space="preserve">Incl. surcharge &amp; cess</t>
  </si>
  <si>
    <t xml:space="preserve">Tax WDV depreciation rate</t>
  </si>
  <si>
    <t xml:space="preserve">On eligible block</t>
  </si>
  <si>
    <t xml:space="preserve">Eligible block fraction</t>
  </si>
  <si>
    <t xml:space="preserve">Balance on straight line</t>
  </si>
  <si>
    <t xml:space="preserve">Book depreciation life</t>
  </si>
  <si>
    <t xml:space="preserve">SLM</t>
  </si>
  <si>
    <t xml:space="preserve">Residual value</t>
  </si>
  <si>
    <t xml:space="preserve">H. BESS AUGMENTATION &amp; MERCHANT</t>
  </si>
  <si>
    <t xml:space="preserve">Augmentation year</t>
  </si>
  <si>
    <t xml:space="preserve">Full energy replacement per BESS spec</t>
  </si>
  <si>
    <t xml:space="preserve">Energy replacement fraction</t>
  </si>
  <si>
    <t xml:space="preserve">Augmentation cost</t>
  </si>
  <si>
    <t xml:space="preserve">Future cell price</t>
  </si>
  <si>
    <t xml:space="preserve">Merchant price — year 1</t>
  </si>
  <si>
    <t xml:space="preserve">Merchant escalation</t>
  </si>
  <si>
    <t xml:space="preserve">Sources: RFS.pdf, PROJECT CONFIGURATION_FDRE 2.docx, project_config_fdre2.json, engine fdre_enterprise_engine.py (v1.x, seed 42).</t>
  </si>
  <si>
    <t xml:space="preserve">Capex Build-Up &amp; Financing (Rs cr)</t>
  </si>
  <si>
    <t xml:space="preserve">Component</t>
  </si>
  <si>
    <t xml:space="preserve">Rs cr</t>
  </si>
  <si>
    <t xml:space="preserve">Basis</t>
  </si>
  <si>
    <t xml:space="preserve">IDC schedule</t>
  </si>
  <si>
    <t xml:space="preserve">Solar MW x EPC rate</t>
  </si>
  <si>
    <t xml:space="preserve">Month</t>
  </si>
  <si>
    <t xml:space="preserve">Debt drawn (cum)</t>
  </si>
  <si>
    <t xml:space="preserve">Interest</t>
  </si>
  <si>
    <t xml:space="preserve">Wind MW x EPC rate</t>
  </si>
  <si>
    <t xml:space="preserve">MWh x rate</t>
  </si>
  <si>
    <t xml:space="preserve">MW x rate</t>
  </si>
  <si>
    <t xml:space="preserve">Land &amp; development</t>
  </si>
  <si>
    <t xml:space="preserve">Lump + per-asset land</t>
  </si>
  <si>
    <t xml:space="preserve">Transmission &amp; connectivity</t>
  </si>
  <si>
    <t xml:space="preserve">Lump + evacuation MW x rate</t>
  </si>
  <si>
    <t xml:space="preserve">Owner's costs</t>
  </si>
  <si>
    <t xml:space="preserve">Lump + all-asset MW x rate</t>
  </si>
  <si>
    <t xml:space="preserve">Contracted MW x 1 lakh x GST</t>
  </si>
  <si>
    <t xml:space="preserve">Processing fee</t>
  </si>
  <si>
    <t xml:space="preserve">Slab fee x GST</t>
  </si>
  <si>
    <t xml:space="preserve">Base capex</t>
  </si>
  <si>
    <t xml:space="preserve">HARD CAPEX</t>
  </si>
  <si>
    <t xml:space="preserve">Evacuation basis (MW)</t>
  </si>
  <si>
    <t xml:space="preserve">min(max(contracted, RE MW, BESS MW), interconnection)</t>
  </si>
  <si>
    <t xml:space="preserve">Monthly interest rate</t>
  </si>
  <si>
    <t xml:space="preserve">Debt base for IDC (hard x debt%)</t>
  </si>
  <si>
    <t xml:space="preserve">IDC (capitalized)</t>
  </si>
  <si>
    <t xml:space="preserve">TOTAL PROJECT COST</t>
  </si>
  <si>
    <t xml:space="preserve">Debt</t>
  </si>
  <si>
    <t xml:space="preserve">Equity</t>
  </si>
  <si>
    <t xml:space="preserve">EMD (capped Rs 10 cr)</t>
  </si>
  <si>
    <t xml:space="preserve">Rs 9.28/12.64/14.64 lakh per MW (solar/wind/ESS)</t>
  </si>
  <si>
    <t xml:space="preserve">PBG</t>
  </si>
  <si>
    <t xml:space="preserve">Rs 23.20/31.60/36.60 lakh per MW</t>
  </si>
  <si>
    <t xml:space="preserve">BESS augmentation capex (year 11)</t>
  </si>
  <si>
    <t xml:space="preserve">CHECK: debt fully repaid by yr-18 (closing balance, cr)</t>
  </si>
  <si>
    <t xml:space="preserve">Goal Seek this to 0 by changing Assumptions sculpting DSCR if assumptions change.</t>
  </si>
  <si>
    <t xml:space="preserve">25-Year Dispatch &amp; Annual Compliance (MWh)</t>
  </si>
  <si>
    <t xml:space="preserve">PPA cap =</t>
  </si>
  <si>
    <t xml:space="preserve">Year</t>
  </si>
  <si>
    <t xml:space="preserve">Solar gen</t>
  </si>
  <si>
    <t xml:space="preserve">Wind gen</t>
  </si>
  <si>
    <t xml:space="preserve">RE total</t>
  </si>
  <si>
    <t xml:space="preserve">Delivered at POI</t>
  </si>
  <si>
    <t xml:space="preserve">PPA target</t>
  </si>
  <si>
    <t xml:space="preserve">PPA energy</t>
  </si>
  <si>
    <t xml:space="preserve">Annual CUF</t>
  </si>
  <si>
    <t xml:space="preserve">Surplus</t>
  </si>
  <si>
    <t xml:space="preserve">Merchant sold</t>
  </si>
  <si>
    <t xml:space="preserve">CUF floor ok</t>
  </si>
  <si>
    <t xml:space="preserve">CUF cap ok</t>
  </si>
  <si>
    <t xml:space="preserve">Spill</t>
  </si>
  <si>
    <t xml:space="preserve">Scenario: PPA delivery held at the DECLARED CUF (40%) in all 25 years — inside the -15%/+10% band throughout. Surplus RE above the target is sold merchant at the capture factor. Set the offtake lever to 1.10 to model delivery at the +10% cap.</t>
  </si>
  <si>
    <t xml:space="preserve">Year-1 Monthly Dispatch &amp; Peak Compliance</t>
  </si>
  <si>
    <t xml:space="preserve">Days</t>
  </si>
  <si>
    <t xml:space="preserve">Peak hours</t>
  </si>
  <si>
    <t xml:space="preserve">Peak obligation MWh</t>
  </si>
  <si>
    <t xml:space="preserve">Availability %</t>
  </si>
  <si>
    <t xml:space="preserve">Peak delivered MWh</t>
  </si>
  <si>
    <t xml:space="preserve">Floor (90%) MWh</t>
  </si>
  <si>
    <t xml:space="preserve">Shortfall MWh</t>
  </si>
  <si>
    <t xml:space="preserve">LD Rs cr</t>
  </si>
  <si>
    <t xml:space="preserve">Compliant</t>
  </si>
  <si>
    <t xml:space="preserve">PPA energy MWh</t>
  </si>
  <si>
    <t xml:space="preserve">Monthly CUF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</si>
  <si>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</si>
  <si>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</si>
  <si>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</si>
  <si>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</si>
  <si>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</si>
  <si>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</si>
  <si>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</si>
  <si>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</si>
  <si>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</si>
  <si>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</si>
  <si>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</si>
  <si>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</si>
  <si>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 / MIN</t>
  </si>
  <si>
    <t xml:space="preserve">Scenario: availability held at the 90% RfS floor in every month (blue inputs) — exactly compliant, zero liquidated damages. Replace with monthly dispatch output when re-running the engine.</t>
  </si>
  <si>
    <t xml:space="preserve">25-Year Financial Model (Rs cr unless noted)</t>
  </si>
  <si>
    <t xml:space="preserve">ENERGY</t>
  </si>
  <si>
    <t xml:space="preserve">PPA energy (MWh)</t>
  </si>
  <si>
    <t xml:space="preserve">Merchant energy (MWh)</t>
  </si>
  <si>
    <t xml:space="preserve">REVENUE</t>
  </si>
  <si>
    <t xml:space="preserve">Net PPA tariff (Rs/kWh, tariff - PSM)</t>
  </si>
  <si>
    <t xml:space="preserve">PPA revenue</t>
  </si>
  <si>
    <t xml:space="preserve">Merchant price (Rs/kWh)</t>
  </si>
  <si>
    <t xml:space="preserve">Merchant revenue</t>
  </si>
  <si>
    <t xml:space="preserve">Total revenue</t>
  </si>
  <si>
    <t xml:space="preserve">OPERATING EXPENSES</t>
  </si>
  <si>
    <t xml:space="preserve">Generation + BESS O&amp;M (escalated)</t>
  </si>
  <si>
    <t xml:space="preserve">Admin (escalated)</t>
  </si>
  <si>
    <t xml:space="preserve">Transmission O&amp;M (escalated)</t>
  </si>
  <si>
    <t xml:space="preserve">Insurance (on hard capex)</t>
  </si>
  <si>
    <t xml:space="preserve">Working-capital interest</t>
  </si>
  <si>
    <t xml:space="preserve">Transmission losses (on PPA revenue)</t>
  </si>
  <si>
    <t xml:space="preserve">Total opex</t>
  </si>
  <si>
    <t xml:space="preserve">EBITDA</t>
  </si>
  <si>
    <t xml:space="preserve">TAX COMPUTATION (Sec 115BAA, WDV + loss carry-forward)</t>
  </si>
  <si>
    <t xml:space="preserve">WDV block — opening</t>
  </si>
  <si>
    <t xml:space="preserve">Addition (augmentation x eligible)</t>
  </si>
  <si>
    <t xml:space="preserve">WDV depreciation (40%)</t>
  </si>
  <si>
    <t xml:space="preserve">WDV block — closing</t>
  </si>
  <si>
    <t xml:space="preserve">SLM on non-eligible 5%</t>
  </si>
  <si>
    <t xml:space="preserve">Total tax depreciation</t>
  </si>
  <si>
    <t xml:space="preserve">Taxable income (EBITDA - interest - tax dep)</t>
  </si>
  <si>
    <t xml:space="preserve">Loss brought forward</t>
  </si>
  <si>
    <t xml:space="preserve">Taxable after loss set-off</t>
  </si>
  <si>
    <t xml:space="preserve">Tax payable</t>
  </si>
  <si>
    <t xml:space="preserve">Loss carried forward</t>
  </si>
  <si>
    <t xml:space="preserve">PROFIT &amp; LOSS</t>
  </si>
  <si>
    <t xml:space="preserve">Book depreciation (SLM to 5% residual)</t>
  </si>
  <si>
    <t xml:space="preserve">EBIT</t>
  </si>
  <si>
    <t xml:space="preserve">Interest on term debt</t>
  </si>
  <si>
    <t xml:space="preserve">Profit before tax</t>
  </si>
  <si>
    <t xml:space="preserve">PAT</t>
  </si>
  <si>
    <t xml:space="preserve">DEBT SCHEDULE (sculpted, constant DSCR)</t>
  </si>
  <si>
    <t xml:space="preserve">Debt — opening</t>
  </si>
  <si>
    <t xml:space="preserve">Sculpted debt service target (CFADS/DSCR)</t>
  </si>
  <si>
    <t xml:space="preserve">Principal repayment</t>
  </si>
  <si>
    <t xml:space="preserve">Debt service</t>
  </si>
  <si>
    <t xml:space="preserve">Debt — closing</t>
  </si>
  <si>
    <t xml:space="preserve">CASH FLOW</t>
  </si>
  <si>
    <t xml:space="preserve">Receivables (60 days) / change in WC</t>
  </si>
  <si>
    <t xml:space="preserve">CFADS (EBITDA - tax - change in WC)</t>
  </si>
  <si>
    <t xml:space="preserve">BESS augmentation capex</t>
  </si>
  <si>
    <t xml:space="preserve">FCFE (CFADS - debt service - augmentation)</t>
  </si>
  <si>
    <t xml:space="preserve">DSCR (x)</t>
  </si>
  <si>
    <t xml:space="preserve">Post-augmentation DSCR (x)</t>
  </si>
  <si>
    <t xml:space="preserve">EQUITY &amp; PROJECT CASH FLOWS (t0, t1 = construction years)</t>
  </si>
  <si>
    <t xml:space="preserve">Equity cash flow</t>
  </si>
  <si>
    <t xml:space="preserve">Project cash flow</t>
  </si>
  <si>
    <t xml:space="preserve">RESULTS</t>
  </si>
  <si>
    <t xml:space="preserve">Bid tariff (Rs/kWh)</t>
  </si>
  <si>
    <t xml:space="preserve">Project IRR (pre-financing, post-tax)</t>
  </si>
  <si>
    <t xml:space="preserve">EQUITY IRR</t>
  </si>
  <si>
    <t xml:space="preserve">Equity NPV @ discount rate</t>
  </si>
  <si>
    <t xml:space="preserve">Min DSCR (debt years)</t>
  </si>
  <si>
    <t xml:space="preserve">Average DSCR (debt years)</t>
  </si>
  <si>
    <t xml:space="preserve">IRR target met (&gt;= 14%)?</t>
  </si>
  <si>
    <t xml:space="preserve">DSCR floor met (&gt;= 1.10x)?</t>
  </si>
  <si>
    <t xml:space="preserve">Bid tariff is the LOWEST tariff meeting both -&gt; re-derive with Goal Seek (see Assumptions legend).</t>
  </si>
  <si>
    <t xml:space="preserve">Hard Tender Conditions &amp; Optimized Output Validation</t>
  </si>
  <si>
    <t xml:space="preserve">HARD TENDER CONDITIONS (NHPC FDRE T-II)</t>
  </si>
  <si>
    <t xml:space="preserve">Model value</t>
  </si>
  <si>
    <t xml:space="preserve">Requirement</t>
  </si>
  <si>
    <t xml:space="preserve">Status</t>
  </si>
  <si>
    <t xml:space="preserve">Reference</t>
  </si>
  <si>
    <t xml:space="preserve">Monthly peak availability — minimum month (year 1)</t>
  </si>
  <si>
    <t xml:space="preserve">RfS: 90% of contracted capacity across 4 daily peak hours, tested monthly</t>
  </si>
  <si>
    <t xml:space="preserve">All 12 months compliant (year 1)</t>
  </si>
  <si>
    <t xml:space="preserve">"ALL PASS"</t>
  </si>
  <si>
    <t xml:space="preserve">Both peak and annual LDs can apply in the same year</t>
  </si>
  <si>
    <t xml:space="preserve">Annual CUF — minimum year</t>
  </si>
  <si>
    <t xml:space="preserve">Floor: declared CUF - 15% (34%)</t>
  </si>
  <si>
    <t xml:space="preserve">Annual CUF — maximum year (offtake cap)</t>
  </si>
  <si>
    <t xml:space="preserve">Cap: 110% of declared CUF (44%) — NHPC purchase limit</t>
  </si>
  <si>
    <t xml:space="preserve">Liquidated damages — total (year 1)</t>
  </si>
  <si>
    <t xml:space="preserve">0</t>
  </si>
  <si>
    <t xml:space="preserve">1.5x tariff on shortfall energy</t>
  </si>
  <si>
    <t xml:space="preserve">Bid capacity &gt;= minimum project size</t>
  </si>
  <si>
    <t xml:space="preserve">50 MW</t>
  </si>
  <si>
    <t xml:space="preserve">RfS minimum 50 MW</t>
  </si>
  <si>
    <t xml:space="preserve">Bid capacity multiple of 10 MW</t>
  </si>
  <si>
    <t xml:space="preserve">Bid capacity &lt;= bidder cap</t>
  </si>
  <si>
    <t xml:space="preserve">600 MW</t>
  </si>
  <si>
    <t xml:space="preserve">RfS maximum 600 MW per bidder</t>
  </si>
  <si>
    <t xml:space="preserve">BESS charging source</t>
  </si>
  <si>
    <t xml:space="preserve">"RE only"</t>
  </si>
  <si>
    <t xml:space="preserve">"PASS"</t>
  </si>
  <si>
    <t xml:space="preserve">By construction: BESS charges only from co-located RE (no grid/fossil)</t>
  </si>
  <si>
    <t xml:space="preserve">Declared CUF &gt;= 40%</t>
  </si>
  <si>
    <t xml:space="preserve">40%</t>
  </si>
  <si>
    <t xml:space="preserve">RfS minimum declaration</t>
  </si>
  <si>
    <t xml:space="preserve">OPTIMIZED OUTPUT VALIDATION (model vs optimizer result)</t>
  </si>
  <si>
    <t xml:space="preserve">Optimizer</t>
  </si>
  <si>
    <t xml:space="preserve">This model</t>
  </si>
  <si>
    <t xml:space="preserve">Match</t>
  </si>
  <si>
    <t xml:space="preserve">Solar capacity (MW)</t>
  </si>
  <si>
    <t xml:space="preserve">Wind capacity (MW)</t>
  </si>
  <si>
    <t xml:space="preserve">BESS power (MW)</t>
  </si>
  <si>
    <t xml:space="preserve">BESS energy (MWh)</t>
  </si>
  <si>
    <t xml:space="preserve">Selected bid capacity (MW)</t>
  </si>
  <si>
    <t xml:space="preserve">Required tariff (Rs/kWh) — declared CUF 40% / 90% availability</t>
  </si>
  <si>
    <t xml:space="preserve">Equity IRR at bid tariff</t>
  </si>
  <si>
    <t xml:space="preserve">Min DSCR at bid tariff (&gt;= floor)</t>
  </si>
  <si>
    <t xml:space="preserve">Validation — Excel formulas vs dispatch engine (calibrated reference run)</t>
  </si>
  <si>
    <t xml:space="preserve">Engine: fdre_enterprise_engine.py, seed 42, capacities as bid, delivery at declared CUF 40% / availability 90% (compliant, zero LD), tariff Rs 5.9113.</t>
  </si>
  <si>
    <t xml:space="preserve">Metric</t>
  </si>
  <si>
    <t xml:space="preserve">Engine</t>
  </si>
  <si>
    <t xml:space="preserve">Delta %</t>
  </si>
  <si>
    <t xml:space="preserve">Hard capex (cr)</t>
  </si>
  <si>
    <t xml:space="preserve">IDC (cr)</t>
  </si>
  <si>
    <t xml:space="preserve">Total project cost (cr)</t>
  </si>
  <si>
    <t xml:space="preserve">Debt (cr)</t>
  </si>
  <si>
    <t xml:space="preserve">Equity (cr)</t>
  </si>
  <si>
    <t xml:space="preserve">EMD (cr)</t>
  </si>
  <si>
    <t xml:space="preserve">PBG (cr)</t>
  </si>
  <si>
    <t xml:space="preserve">Year-1 PPA energy (MWh)</t>
  </si>
  <si>
    <t xml:space="preserve">Year-1 merchant energy (MWh)</t>
  </si>
  <si>
    <t xml:space="preserve">Year-1 total revenue (cr)</t>
  </si>
  <si>
    <t xml:space="preserve">Year-1 total opex (cr)</t>
  </si>
  <si>
    <t xml:space="preserve">Year-1 EBITDA (cr)</t>
  </si>
  <si>
    <t xml:space="preserve">Year-1 CFADS (cr)</t>
  </si>
  <si>
    <t xml:space="preserve">Year-1 FCFE (cr)</t>
  </si>
  <si>
    <t xml:space="preserve">Year-14 tax (first tax-paying year, cr)</t>
  </si>
  <si>
    <t xml:space="preserve">Year-11 augmentation (cr)</t>
  </si>
  <si>
    <t xml:space="preserve">Year-25 EBITDA (cr)</t>
  </si>
  <si>
    <t xml:space="preserve">Equity IRR</t>
  </si>
  <si>
    <t xml:space="preserve">Project IRR</t>
  </si>
  <si>
    <t xml:space="preserve">Min DSCR (x)</t>
  </si>
  <si>
    <t xml:space="preserve">Equity NPV @10% (cr)</t>
  </si>
  <si>
    <t xml:space="preserve">PASS = within 0.5%. Engine values are hardcoded reference outputs from the calibrated run; model values are live formulas.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</si>
</sst>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"/>
    <numFmt numFmtId="166" formatCode="0.0000"/>
    <numFmt numFmtId="167" formatCode="0.0%"/>
    <numFmt numFmtId="168" formatCode="#,##0.00"/>
    <numFmt numFmtId="169" formatCode="#,##0"/>
    <numFmt numFmtId="170" formatCode="0.00%"/>
    <numFmt numFmtId="171" formatCode="#,##0.0;\(#,##0.0\);\-"/>
    <numFmt numFmtId="172" formatCode="#,##0.00;\(#,##0.00\);\-"/>
    <numFmt numFmtId="173" formatCode="0.0000%"/>
    <numFmt numFmtId="174" formatCode="0.00\x"/>
    <numFmt numFmtId="175" formatCode="0.00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1F4E5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7A879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AF1F4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4E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8794"/>
      <rgbColor rgb="FF9999FF"/>
      <rgbColor rgb="FF993366"/>
      <rgbColor rgb="FFFFFFCC"/>
      <rgbColor rgb="FFEAF1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78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/>
      <c r="D4" s="4"/>
      <c r="E4" s="4"/>
      <c r="F4" s="4"/>
    </row>
    <row r="5" customFormat="false" ht="15" hidden="false" customHeight="false" outlineLevel="0" collapsed="false">
      <c r="B5" s="5" t="s">
        <v>3</v>
      </c>
    </row>
    <row r="6" customFormat="false" ht="15" hidden="false" customHeight="false" outlineLevel="0" collapsed="false">
      <c r="B6" s="5" t="s">
        <v>4</v>
      </c>
    </row>
    <row r="7" customFormat="false" ht="15" hidden="false" customHeight="false" outlineLevel="0" collapsed="false">
      <c r="B7" s="5" t="s">
        <v>5</v>
      </c>
    </row>
    <row r="8" customFormat="false" ht="15" hidden="false" customHeight="false" outlineLevel="0" collapsed="false">
      <c r="B8" s="5" t="s">
        <v>6</v>
      </c>
    </row>
    <row r="10" customFormat="false" ht="15" hidden="false" customHeight="false" outlineLevel="0" collapsed="false">
      <c r="B10" s="3" t="s">
        <v>7</v>
      </c>
      <c r="C10" s="4"/>
      <c r="D10" s="4"/>
      <c r="E10" s="4"/>
      <c r="F10" s="4"/>
    </row>
    <row r="11" customFormat="false" ht="15" hidden="false" customHeight="false" outlineLevel="0" collapsed="false">
      <c r="B11" s="5" t="s">
        <v>8</v>
      </c>
      <c r="C11" s="6" t="n">
        <v>288.8</v>
      </c>
      <c r="D11" s="7" t="s">
        <v>9</v>
      </c>
      <c r="E11" s="7" t="s">
        <v>10</v>
      </c>
    </row>
    <row r="12" customFormat="false" ht="15" hidden="false" customHeight="false" outlineLevel="0" collapsed="false">
      <c r="B12" s="5" t="s">
        <v>11</v>
      </c>
      <c r="C12" s="6" t="n">
        <v>40.9</v>
      </c>
      <c r="D12" s="7" t="s">
        <v>9</v>
      </c>
      <c r="E12" s="7" t="s">
        <v>10</v>
      </c>
    </row>
    <row r="13" customFormat="false" ht="15" hidden="false" customHeight="false" outlineLevel="0" collapsed="false">
      <c r="B13" s="5" t="s">
        <v>12</v>
      </c>
      <c r="C13" s="6" t="n">
        <v>180</v>
      </c>
      <c r="D13" s="7" t="s">
        <v>9</v>
      </c>
      <c r="E13" s="7" t="s">
        <v>10</v>
      </c>
    </row>
    <row r="14" customFormat="false" ht="15" hidden="false" customHeight="false" outlineLevel="0" collapsed="false">
      <c r="B14" s="5" t="s">
        <v>13</v>
      </c>
      <c r="C14" s="6" t="n">
        <v>540</v>
      </c>
      <c r="D14" s="7" t="s">
        <v>14</v>
      </c>
      <c r="E14" s="7" t="s">
        <v>10</v>
      </c>
    </row>
    <row r="15" customFormat="false" ht="15" hidden="false" customHeight="false" outlineLevel="0" collapsed="false">
      <c r="B15" s="5" t="s">
        <v>15</v>
      </c>
      <c r="C15" s="6" t="n">
        <v>200</v>
      </c>
      <c r="D15" s="7" t="s">
        <v>9</v>
      </c>
      <c r="E15" s="7" t="s">
        <v>16</v>
      </c>
    </row>
    <row r="16" customFormat="false" ht="15" hidden="false" customHeight="false" outlineLevel="0" collapsed="false">
      <c r="B16" s="5" t="s">
        <v>17</v>
      </c>
      <c r="C16" s="8" t="n">
        <v>5.9113</v>
      </c>
      <c r="D16" s="7" t="s">
        <v>18</v>
      </c>
      <c r="E16" s="7" t="s">
        <v>19</v>
      </c>
    </row>
    <row r="18" customFormat="false" ht="15" hidden="false" customHeight="false" outlineLevel="0" collapsed="false">
      <c r="B18" s="3" t="s">
        <v>20</v>
      </c>
      <c r="C18" s="4"/>
      <c r="D18" s="4"/>
      <c r="E18" s="4"/>
      <c r="F18" s="4"/>
    </row>
    <row r="19" customFormat="false" ht="15" hidden="false" customHeight="false" outlineLevel="0" collapsed="false">
      <c r="B19" s="5" t="s">
        <v>21</v>
      </c>
      <c r="C19" s="9" t="n">
        <v>0.4</v>
      </c>
      <c r="D19" s="7"/>
      <c r="E19" s="7" t="s">
        <v>22</v>
      </c>
    </row>
    <row r="20" customFormat="false" ht="15" hidden="false" customHeight="false" outlineLevel="0" collapsed="false">
      <c r="B20" s="5" t="s">
        <v>23</v>
      </c>
      <c r="C20" s="9" t="n">
        <v>0.15</v>
      </c>
      <c r="D20" s="7"/>
      <c r="E20" s="7" t="s">
        <v>24</v>
      </c>
    </row>
    <row r="21" customFormat="false" ht="15" hidden="false" customHeight="false" outlineLevel="0" collapsed="false">
      <c r="B21" s="5" t="s">
        <v>25</v>
      </c>
      <c r="C21" s="10" t="n">
        <v>1.1</v>
      </c>
      <c r="D21" s="7" t="s">
        <v>26</v>
      </c>
      <c r="E21" s="7" t="s">
        <v>27</v>
      </c>
    </row>
    <row r="22" customFormat="false" ht="15" hidden="false" customHeight="false" outlineLevel="0" collapsed="false">
      <c r="B22" s="5" t="s">
        <v>28</v>
      </c>
      <c r="C22" s="11" t="n">
        <v>1</v>
      </c>
      <c r="D22" s="7" t="s">
        <v>26</v>
      </c>
      <c r="E22" s="7" t="s">
        <v>29</v>
      </c>
    </row>
    <row r="23" customFormat="false" ht="15" hidden="false" customHeight="false" outlineLevel="0" collapsed="false">
      <c r="B23" s="5" t="s">
        <v>30</v>
      </c>
      <c r="C23" s="12" t="n">
        <v>8766</v>
      </c>
      <c r="D23" s="7" t="s">
        <v>31</v>
      </c>
      <c r="E23" s="7" t="s">
        <v>32</v>
      </c>
    </row>
    <row r="24" customFormat="false" ht="15" hidden="false" customHeight="false" outlineLevel="0" collapsed="false">
      <c r="B24" s="5" t="s">
        <v>33</v>
      </c>
      <c r="C24" s="9" t="n">
        <v>0.9</v>
      </c>
      <c r="D24" s="7"/>
      <c r="E24" s="7" t="s">
        <v>34</v>
      </c>
    </row>
    <row r="25" customFormat="false" ht="15" hidden="false" customHeight="false" outlineLevel="0" collapsed="false">
      <c r="B25" s="5" t="s">
        <v>35</v>
      </c>
      <c r="C25" s="12" t="n">
        <v>4</v>
      </c>
      <c r="D25" s="7" t="s">
        <v>31</v>
      </c>
      <c r="E25" s="7" t="s">
        <v>36</v>
      </c>
    </row>
    <row r="26" customFormat="false" ht="15" hidden="false" customHeight="false" outlineLevel="0" collapsed="false">
      <c r="B26" s="5" t="s">
        <v>37</v>
      </c>
      <c r="C26" s="10" t="n">
        <v>1.5</v>
      </c>
      <c r="D26" s="7" t="s">
        <v>38</v>
      </c>
      <c r="E26" s="7" t="s">
        <v>39</v>
      </c>
    </row>
    <row r="27" customFormat="false" ht="15" hidden="false" customHeight="false" outlineLevel="0" collapsed="false">
      <c r="B27" s="5" t="s">
        <v>40</v>
      </c>
      <c r="C27" s="10" t="n">
        <v>0.02</v>
      </c>
      <c r="D27" s="7" t="s">
        <v>18</v>
      </c>
      <c r="E27" s="7" t="s">
        <v>41</v>
      </c>
    </row>
    <row r="28" customFormat="false" ht="15" hidden="false" customHeight="false" outlineLevel="0" collapsed="false">
      <c r="B28" s="5" t="s">
        <v>42</v>
      </c>
      <c r="C28" s="12" t="n">
        <v>25</v>
      </c>
      <c r="D28" s="7" t="s">
        <v>43</v>
      </c>
      <c r="E28" s="7"/>
    </row>
    <row r="30" customFormat="false" ht="15" hidden="false" customHeight="false" outlineLevel="0" collapsed="false">
      <c r="B30" s="3" t="s">
        <v>44</v>
      </c>
      <c r="C30" s="4"/>
      <c r="D30" s="4"/>
      <c r="E30" s="4"/>
      <c r="F30" s="4"/>
    </row>
    <row r="31" customFormat="false" ht="15" hidden="false" customHeight="false" outlineLevel="0" collapsed="false">
      <c r="B31" s="5" t="s">
        <v>45</v>
      </c>
      <c r="C31" s="9" t="n">
        <v>0.275</v>
      </c>
      <c r="D31" s="7"/>
      <c r="E31" s="7" t="s">
        <v>46</v>
      </c>
    </row>
    <row r="32" customFormat="false" ht="15" hidden="false" customHeight="false" outlineLevel="0" collapsed="false">
      <c r="B32" s="5" t="s">
        <v>47</v>
      </c>
      <c r="C32" s="9" t="n">
        <v>0.34</v>
      </c>
      <c r="D32" s="7"/>
      <c r="E32" s="7" t="s">
        <v>48</v>
      </c>
    </row>
    <row r="33" customFormat="false" ht="15" hidden="false" customHeight="false" outlineLevel="0" collapsed="false">
      <c r="B33" s="5" t="s">
        <v>49</v>
      </c>
      <c r="C33" s="8" t="n">
        <v>1.191142</v>
      </c>
      <c r="D33" s="7" t="s">
        <v>26</v>
      </c>
      <c r="E33" s="7" t="s">
        <v>50</v>
      </c>
    </row>
    <row r="34" customFormat="false" ht="15" hidden="false" customHeight="false" outlineLevel="0" collapsed="false">
      <c r="B34" s="5" t="s">
        <v>51</v>
      </c>
      <c r="C34" s="13" t="n">
        <v>0.9</v>
      </c>
      <c r="D34" s="7"/>
      <c r="E34" s="7" t="s">
        <v>52</v>
      </c>
    </row>
    <row r="35" customFormat="false" ht="15" hidden="false" customHeight="false" outlineLevel="0" collapsed="false">
      <c r="B35" s="5" t="s">
        <v>53</v>
      </c>
      <c r="C35" s="14" t="n">
        <v>0.005</v>
      </c>
      <c r="D35" s="7" t="s">
        <v>54</v>
      </c>
      <c r="E35" s="7"/>
    </row>
    <row r="36" customFormat="false" ht="15" hidden="false" customHeight="false" outlineLevel="0" collapsed="false">
      <c r="B36" s="5" t="s">
        <v>55</v>
      </c>
      <c r="C36" s="14" t="n">
        <v>0.002</v>
      </c>
      <c r="D36" s="7" t="s">
        <v>54</v>
      </c>
      <c r="E36" s="7"/>
    </row>
    <row r="37" customFormat="false" ht="15" hidden="false" customHeight="false" outlineLevel="0" collapsed="false">
      <c r="B37" s="5" t="s">
        <v>56</v>
      </c>
      <c r="C37" s="9" t="n">
        <v>0.6</v>
      </c>
      <c r="D37" s="7"/>
      <c r="E37" s="7" t="s">
        <v>57</v>
      </c>
    </row>
    <row r="39" customFormat="false" ht="15" hidden="false" customHeight="false" outlineLevel="0" collapsed="false">
      <c r="B39" s="3" t="s">
        <v>58</v>
      </c>
      <c r="C39" s="4"/>
      <c r="D39" s="4"/>
      <c r="E39" s="4"/>
      <c r="F39" s="4"/>
    </row>
    <row r="40" customFormat="false" ht="15" hidden="false" customHeight="false" outlineLevel="0" collapsed="false">
      <c r="B40" s="5" t="s">
        <v>59</v>
      </c>
      <c r="C40" s="10" t="n">
        <v>3.1</v>
      </c>
      <c r="D40" s="7" t="s">
        <v>60</v>
      </c>
      <c r="E40" s="7" t="s">
        <v>61</v>
      </c>
    </row>
    <row r="41" customFormat="false" ht="15" hidden="false" customHeight="false" outlineLevel="0" collapsed="false">
      <c r="B41" s="5" t="s">
        <v>62</v>
      </c>
      <c r="C41" s="10" t="n">
        <v>6.5</v>
      </c>
      <c r="D41" s="7" t="s">
        <v>63</v>
      </c>
      <c r="E41" s="7"/>
    </row>
    <row r="42" customFormat="false" ht="15" hidden="false" customHeight="false" outlineLevel="0" collapsed="false">
      <c r="B42" s="5" t="s">
        <v>13</v>
      </c>
      <c r="C42" s="10" t="n">
        <v>1.1</v>
      </c>
      <c r="D42" s="7" t="s">
        <v>64</v>
      </c>
      <c r="E42" s="7"/>
    </row>
    <row r="43" customFormat="false" ht="15" hidden="false" customHeight="false" outlineLevel="0" collapsed="false">
      <c r="B43" s="5" t="s">
        <v>65</v>
      </c>
      <c r="C43" s="10" t="n">
        <v>0.3</v>
      </c>
      <c r="D43" s="7" t="s">
        <v>63</v>
      </c>
      <c r="E43" s="7"/>
    </row>
    <row r="44" customFormat="false" ht="15" hidden="false" customHeight="false" outlineLevel="0" collapsed="false">
      <c r="B44" s="5" t="s">
        <v>66</v>
      </c>
      <c r="C44" s="6" t="n">
        <v>90</v>
      </c>
      <c r="D44" s="7" t="s">
        <v>67</v>
      </c>
      <c r="E44" s="7" t="s">
        <v>61</v>
      </c>
    </row>
    <row r="45" customFormat="false" ht="15" hidden="false" customHeight="false" outlineLevel="0" collapsed="false">
      <c r="B45" s="5" t="s">
        <v>68</v>
      </c>
      <c r="C45" s="10" t="n">
        <v>0.45</v>
      </c>
      <c r="D45" s="7" t="s">
        <v>60</v>
      </c>
      <c r="E45" s="7"/>
    </row>
    <row r="46" customFormat="false" ht="15" hidden="false" customHeight="false" outlineLevel="0" collapsed="false">
      <c r="B46" s="5" t="s">
        <v>69</v>
      </c>
      <c r="C46" s="10" t="n">
        <v>0.08</v>
      </c>
      <c r="D46" s="7" t="s">
        <v>63</v>
      </c>
      <c r="E46" s="7"/>
    </row>
    <row r="47" customFormat="false" ht="15" hidden="false" customHeight="false" outlineLevel="0" collapsed="false">
      <c r="B47" s="5" t="s">
        <v>70</v>
      </c>
      <c r="C47" s="10" t="n">
        <v>0.02</v>
      </c>
      <c r="D47" s="7" t="s">
        <v>64</v>
      </c>
      <c r="E47" s="7"/>
    </row>
    <row r="48" customFormat="false" ht="15" hidden="false" customHeight="false" outlineLevel="0" collapsed="false">
      <c r="B48" s="5" t="s">
        <v>71</v>
      </c>
      <c r="C48" s="6" t="n">
        <v>180</v>
      </c>
      <c r="D48" s="7" t="s">
        <v>67</v>
      </c>
      <c r="E48" s="7" t="s">
        <v>61</v>
      </c>
    </row>
    <row r="49" customFormat="false" ht="15" hidden="false" customHeight="false" outlineLevel="0" collapsed="false">
      <c r="B49" s="5" t="s">
        <v>72</v>
      </c>
      <c r="C49" s="10" t="n">
        <v>1</v>
      </c>
      <c r="D49" s="7" t="s">
        <v>63</v>
      </c>
      <c r="E49" s="7"/>
    </row>
    <row r="50" customFormat="false" ht="15" hidden="false" customHeight="false" outlineLevel="0" collapsed="false">
      <c r="B50" s="5" t="s">
        <v>73</v>
      </c>
      <c r="C50" s="12" t="n">
        <v>280</v>
      </c>
      <c r="D50" s="7" t="s">
        <v>9</v>
      </c>
      <c r="E50" s="7" t="s">
        <v>74</v>
      </c>
    </row>
    <row r="51" customFormat="false" ht="15" hidden="false" customHeight="false" outlineLevel="0" collapsed="false">
      <c r="B51" s="5" t="s">
        <v>75</v>
      </c>
      <c r="C51" s="6" t="n">
        <v>60</v>
      </c>
      <c r="D51" s="7" t="s">
        <v>67</v>
      </c>
      <c r="E51" s="7"/>
    </row>
    <row r="52" customFormat="false" ht="15" hidden="false" customHeight="false" outlineLevel="0" collapsed="false">
      <c r="B52" s="5" t="s">
        <v>76</v>
      </c>
      <c r="C52" s="10" t="n">
        <v>0.12</v>
      </c>
      <c r="D52" s="7" t="s">
        <v>63</v>
      </c>
      <c r="E52" s="7"/>
    </row>
    <row r="53" customFormat="false" ht="15" hidden="false" customHeight="false" outlineLevel="0" collapsed="false">
      <c r="B53" s="5" t="s">
        <v>77</v>
      </c>
      <c r="C53" s="6" t="n">
        <v>1</v>
      </c>
      <c r="D53" s="7" t="s">
        <v>78</v>
      </c>
      <c r="E53" s="7" t="s">
        <v>79</v>
      </c>
    </row>
    <row r="54" customFormat="false" ht="15" hidden="false" customHeight="false" outlineLevel="0" collapsed="false">
      <c r="B54" s="5" t="s">
        <v>80</v>
      </c>
      <c r="C54" s="6" t="n">
        <v>10</v>
      </c>
      <c r="D54" s="7" t="s">
        <v>81</v>
      </c>
      <c r="E54" s="7" t="s">
        <v>82</v>
      </c>
    </row>
    <row r="55" customFormat="false" ht="15" hidden="false" customHeight="false" outlineLevel="0" collapsed="false">
      <c r="B55" s="5" t="s">
        <v>83</v>
      </c>
      <c r="C55" s="9" t="n">
        <v>0.03</v>
      </c>
      <c r="D55" s="7" t="s">
        <v>84</v>
      </c>
      <c r="E55" s="7"/>
    </row>
    <row r="57" customFormat="false" ht="15" hidden="false" customHeight="false" outlineLevel="0" collapsed="false">
      <c r="B57" s="3" t="s">
        <v>85</v>
      </c>
      <c r="C57" s="4"/>
      <c r="D57" s="4"/>
      <c r="E57" s="4"/>
      <c r="F57" s="4"/>
    </row>
    <row r="58" customFormat="false" ht="15" hidden="false" customHeight="false" outlineLevel="0" collapsed="false">
      <c r="B58" s="5" t="s">
        <v>86</v>
      </c>
      <c r="C58" s="6" t="n">
        <v>5.5</v>
      </c>
      <c r="D58" s="7" t="s">
        <v>87</v>
      </c>
      <c r="E58" s="7"/>
    </row>
    <row r="59" customFormat="false" ht="15" hidden="false" customHeight="false" outlineLevel="0" collapsed="false">
      <c r="B59" s="5" t="s">
        <v>88</v>
      </c>
      <c r="C59" s="6" t="n">
        <v>11</v>
      </c>
      <c r="D59" s="7" t="s">
        <v>87</v>
      </c>
      <c r="E59" s="7"/>
    </row>
    <row r="60" customFormat="false" ht="15" hidden="false" customHeight="false" outlineLevel="0" collapsed="false">
      <c r="B60" s="5" t="s">
        <v>89</v>
      </c>
      <c r="C60" s="6" t="n">
        <v>1.2</v>
      </c>
      <c r="D60" s="7" t="s">
        <v>90</v>
      </c>
      <c r="E60" s="7"/>
    </row>
    <row r="61" customFormat="false" ht="15" hidden="false" customHeight="false" outlineLevel="0" collapsed="false">
      <c r="B61" s="5" t="s">
        <v>91</v>
      </c>
      <c r="C61" s="6" t="n">
        <v>5</v>
      </c>
      <c r="D61" s="7" t="s">
        <v>92</v>
      </c>
      <c r="E61" s="7"/>
    </row>
    <row r="62" customFormat="false" ht="15" hidden="false" customHeight="false" outlineLevel="0" collapsed="false">
      <c r="B62" s="5" t="s">
        <v>93</v>
      </c>
      <c r="C62" s="10" t="n">
        <v>0.75</v>
      </c>
      <c r="D62" s="7" t="s">
        <v>87</v>
      </c>
      <c r="E62" s="7"/>
    </row>
    <row r="63" customFormat="false" ht="15" hidden="false" customHeight="false" outlineLevel="0" collapsed="false">
      <c r="B63" s="5" t="s">
        <v>94</v>
      </c>
      <c r="C63" s="6" t="n">
        <v>2</v>
      </c>
      <c r="D63" s="7" t="s">
        <v>87</v>
      </c>
      <c r="E63" s="7"/>
    </row>
    <row r="64" customFormat="false" ht="15" hidden="false" customHeight="false" outlineLevel="0" collapsed="false">
      <c r="B64" s="5" t="s">
        <v>95</v>
      </c>
      <c r="C64" s="14" t="n">
        <v>0.0035</v>
      </c>
      <c r="D64" s="7" t="s">
        <v>96</v>
      </c>
      <c r="E64" s="7"/>
    </row>
    <row r="65" customFormat="false" ht="15" hidden="false" customHeight="false" outlineLevel="0" collapsed="false">
      <c r="B65" s="5" t="s">
        <v>97</v>
      </c>
      <c r="C65" s="9" t="n">
        <v>0.035</v>
      </c>
      <c r="D65" s="7" t="s">
        <v>54</v>
      </c>
      <c r="E65" s="7"/>
    </row>
    <row r="66" customFormat="false" ht="15" hidden="false" customHeight="false" outlineLevel="0" collapsed="false">
      <c r="B66" s="5" t="s">
        <v>98</v>
      </c>
      <c r="C66" s="14" t="n">
        <v>0.005</v>
      </c>
      <c r="D66" s="7" t="s">
        <v>99</v>
      </c>
      <c r="E66" s="7"/>
    </row>
    <row r="68" customFormat="false" ht="15" hidden="false" customHeight="false" outlineLevel="0" collapsed="false">
      <c r="B68" s="3" t="s">
        <v>100</v>
      </c>
      <c r="C68" s="4"/>
      <c r="D68" s="4"/>
      <c r="E68" s="4"/>
      <c r="F68" s="4"/>
    </row>
    <row r="69" customFormat="false" ht="15" hidden="false" customHeight="false" outlineLevel="0" collapsed="false">
      <c r="B69" s="5" t="s">
        <v>101</v>
      </c>
      <c r="C69" s="9" t="n">
        <v>0.75</v>
      </c>
      <c r="D69" s="7" t="s">
        <v>102</v>
      </c>
      <c r="E69" s="7"/>
    </row>
    <row r="70" customFormat="false" ht="15" hidden="false" customHeight="false" outlineLevel="0" collapsed="false">
      <c r="B70" s="5" t="s">
        <v>103</v>
      </c>
      <c r="C70" s="14" t="n">
        <v>0.0875</v>
      </c>
      <c r="D70" s="7" t="s">
        <v>54</v>
      </c>
      <c r="E70" s="7"/>
    </row>
    <row r="71" customFormat="false" ht="15" hidden="false" customHeight="false" outlineLevel="0" collapsed="false">
      <c r="B71" s="5" t="s">
        <v>104</v>
      </c>
      <c r="C71" s="12" t="n">
        <v>18</v>
      </c>
      <c r="D71" s="7" t="s">
        <v>43</v>
      </c>
      <c r="E71" s="7" t="s">
        <v>105</v>
      </c>
    </row>
    <row r="72" customFormat="false" ht="15" hidden="false" customHeight="false" outlineLevel="0" collapsed="false">
      <c r="B72" s="5" t="s">
        <v>106</v>
      </c>
      <c r="C72" s="8" t="n">
        <v>1.478214</v>
      </c>
      <c r="D72" s="7" t="s">
        <v>26</v>
      </c>
      <c r="E72" s="7" t="s">
        <v>107</v>
      </c>
    </row>
    <row r="73" customFormat="false" ht="15" hidden="false" customHeight="false" outlineLevel="0" collapsed="false">
      <c r="B73" s="5" t="s">
        <v>108</v>
      </c>
      <c r="C73" s="12" t="n">
        <v>24</v>
      </c>
      <c r="D73" s="7" t="s">
        <v>109</v>
      </c>
      <c r="E73" s="7"/>
    </row>
    <row r="74" customFormat="false" ht="15" hidden="false" customHeight="false" outlineLevel="0" collapsed="false">
      <c r="B74" s="5" t="s">
        <v>110</v>
      </c>
      <c r="C74" s="9" t="n">
        <v>0.45</v>
      </c>
      <c r="D74" s="7"/>
      <c r="E74" s="7"/>
    </row>
    <row r="75" customFormat="false" ht="15" hidden="false" customHeight="false" outlineLevel="0" collapsed="false">
      <c r="B75" s="5" t="s">
        <v>111</v>
      </c>
      <c r="C75" s="9" t="n">
        <v>0.55</v>
      </c>
      <c r="D75" s="7"/>
      <c r="E75" s="7"/>
    </row>
    <row r="76" customFormat="false" ht="15" hidden="false" customHeight="false" outlineLevel="0" collapsed="false">
      <c r="B76" s="5" t="s">
        <v>112</v>
      </c>
      <c r="C76" s="9" t="n">
        <v>0.14</v>
      </c>
      <c r="D76" s="7"/>
      <c r="E76" s="7" t="s">
        <v>113</v>
      </c>
    </row>
    <row r="77" customFormat="false" ht="15" hidden="false" customHeight="false" outlineLevel="0" collapsed="false">
      <c r="B77" s="5" t="s">
        <v>114</v>
      </c>
      <c r="C77" s="10" t="n">
        <v>1.1</v>
      </c>
      <c r="D77" s="7" t="s">
        <v>26</v>
      </c>
      <c r="E77" s="7" t="s">
        <v>113</v>
      </c>
    </row>
    <row r="78" customFormat="false" ht="15" hidden="false" customHeight="false" outlineLevel="0" collapsed="false">
      <c r="B78" s="5" t="s">
        <v>115</v>
      </c>
      <c r="C78" s="9" t="n">
        <v>0.1</v>
      </c>
      <c r="D78" s="7"/>
      <c r="E78" s="7"/>
    </row>
    <row r="79" customFormat="false" ht="15" hidden="false" customHeight="false" outlineLevel="0" collapsed="false">
      <c r="B79" s="5" t="s">
        <v>116</v>
      </c>
      <c r="C79" s="12" t="n">
        <v>60</v>
      </c>
      <c r="D79" s="7" t="s">
        <v>117</v>
      </c>
      <c r="E79" s="7" t="s">
        <v>118</v>
      </c>
    </row>
    <row r="80" customFormat="false" ht="15" hidden="false" customHeight="false" outlineLevel="0" collapsed="false">
      <c r="B80" s="5" t="s">
        <v>119</v>
      </c>
      <c r="C80" s="14" t="n">
        <v>0.095</v>
      </c>
      <c r="D80" s="7" t="s">
        <v>54</v>
      </c>
      <c r="E80" s="7"/>
    </row>
    <row r="82" customFormat="false" ht="15" hidden="false" customHeight="false" outlineLevel="0" collapsed="false">
      <c r="B82" s="3" t="s">
        <v>120</v>
      </c>
      <c r="C82" s="4"/>
      <c r="D82" s="4"/>
      <c r="E82" s="4"/>
      <c r="F82" s="4"/>
    </row>
    <row r="83" customFormat="false" ht="15" hidden="false" customHeight="false" outlineLevel="0" collapsed="false">
      <c r="B83" s="5" t="s">
        <v>121</v>
      </c>
      <c r="C83" s="14" t="n">
        <v>0.25168</v>
      </c>
      <c r="D83" s="7"/>
      <c r="E83" s="7" t="s">
        <v>122</v>
      </c>
    </row>
    <row r="84" customFormat="false" ht="15" hidden="false" customHeight="false" outlineLevel="0" collapsed="false">
      <c r="B84" s="5" t="s">
        <v>123</v>
      </c>
      <c r="C84" s="9" t="n">
        <v>0.4</v>
      </c>
      <c r="D84" s="7" t="s">
        <v>54</v>
      </c>
      <c r="E84" s="7" t="s">
        <v>124</v>
      </c>
    </row>
    <row r="85" customFormat="false" ht="15" hidden="false" customHeight="false" outlineLevel="0" collapsed="false">
      <c r="B85" s="5" t="s">
        <v>125</v>
      </c>
      <c r="C85" s="9" t="n">
        <v>0.95</v>
      </c>
      <c r="D85" s="7" t="s">
        <v>102</v>
      </c>
      <c r="E85" s="7" t="s">
        <v>126</v>
      </c>
    </row>
    <row r="86" customFormat="false" ht="15" hidden="false" customHeight="false" outlineLevel="0" collapsed="false">
      <c r="B86" s="5" t="s">
        <v>127</v>
      </c>
      <c r="C86" s="12" t="n">
        <v>25</v>
      </c>
      <c r="D86" s="7" t="s">
        <v>43</v>
      </c>
      <c r="E86" s="7" t="s">
        <v>128</v>
      </c>
    </row>
    <row r="87" customFormat="false" ht="15" hidden="false" customHeight="false" outlineLevel="0" collapsed="false">
      <c r="B87" s="5" t="s">
        <v>129</v>
      </c>
      <c r="C87" s="9" t="n">
        <v>0.05</v>
      </c>
      <c r="D87" s="7"/>
      <c r="E87" s="7"/>
    </row>
    <row r="89" customFormat="false" ht="15" hidden="false" customHeight="false" outlineLevel="0" collapsed="false">
      <c r="B89" s="3" t="s">
        <v>130</v>
      </c>
      <c r="C89" s="4"/>
      <c r="D89" s="4"/>
      <c r="E89" s="4"/>
      <c r="F89" s="4"/>
    </row>
    <row r="90" customFormat="false" ht="15" hidden="false" customHeight="false" outlineLevel="0" collapsed="false">
      <c r="B90" s="5" t="s">
        <v>131</v>
      </c>
      <c r="C90" s="12" t="n">
        <v>11</v>
      </c>
      <c r="D90" s="7"/>
      <c r="E90" s="7" t="s">
        <v>132</v>
      </c>
    </row>
    <row r="91" customFormat="false" ht="15" hidden="false" customHeight="false" outlineLevel="0" collapsed="false">
      <c r="B91" s="5" t="s">
        <v>133</v>
      </c>
      <c r="C91" s="9" t="n">
        <v>1</v>
      </c>
      <c r="D91" s="7"/>
      <c r="E91" s="7"/>
    </row>
    <row r="92" customFormat="false" ht="15" hidden="false" customHeight="false" outlineLevel="0" collapsed="false">
      <c r="B92" s="5" t="s">
        <v>134</v>
      </c>
      <c r="C92" s="10" t="n">
        <v>0.75</v>
      </c>
      <c r="D92" s="7" t="s">
        <v>64</v>
      </c>
      <c r="E92" s="7" t="s">
        <v>135</v>
      </c>
    </row>
    <row r="93" customFormat="false" ht="15" hidden="false" customHeight="false" outlineLevel="0" collapsed="false">
      <c r="B93" s="5" t="s">
        <v>136</v>
      </c>
      <c r="C93" s="10" t="n">
        <v>3.25</v>
      </c>
      <c r="D93" s="7" t="s">
        <v>18</v>
      </c>
      <c r="E93" s="7"/>
    </row>
    <row r="94" customFormat="false" ht="15" hidden="false" customHeight="false" outlineLevel="0" collapsed="false">
      <c r="B94" s="5" t="s">
        <v>137</v>
      </c>
      <c r="C94" s="9" t="n">
        <v>0.02</v>
      </c>
      <c r="D94" s="7" t="s">
        <v>54</v>
      </c>
      <c r="E94" s="7"/>
    </row>
    <row r="96" customFormat="false" ht="15" hidden="false" customHeight="false" outlineLevel="0" collapsed="false">
      <c r="B96" s="2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44"/>
    <col collapsed="false" customWidth="true" hidden="false" outlineLevel="0" max="5" min="5" style="0" width="12"/>
    <col collapsed="false" customWidth="true" hidden="false" outlineLevel="0" max="8" min="6" style="0" width="14"/>
  </cols>
  <sheetData>
    <row r="1" customFormat="false" ht="16.15" hidden="false" customHeight="false" outlineLevel="0" collapsed="false">
      <c r="B1" s="1" t="s">
        <v>139</v>
      </c>
    </row>
    <row r="3" customFormat="false" ht="15" hidden="false" customHeight="false" outlineLevel="0" collapsed="false">
      <c r="B3" s="15" t="s">
        <v>140</v>
      </c>
      <c r="C3" s="15" t="s">
        <v>141</v>
      </c>
      <c r="D3" s="15" t="s">
        <v>142</v>
      </c>
      <c r="F3" s="16" t="s">
        <v>143</v>
      </c>
    </row>
    <row r="4" customFormat="false" ht="15" hidden="false" customHeight="false" outlineLevel="0" collapsed="false">
      <c r="B4" s="5" t="s">
        <v>59</v>
      </c>
      <c r="C4" s="17" t="n">
        <f aca="false">Assumptions!$C$11*Assumptions!$C$40</f>
        <v>895.28</v>
      </c>
      <c r="D4" s="7" t="s">
        <v>144</v>
      </c>
      <c r="F4" s="18" t="s">
        <v>145</v>
      </c>
      <c r="G4" s="18" t="s">
        <v>146</v>
      </c>
      <c r="H4" s="18" t="s">
        <v>147</v>
      </c>
    </row>
    <row r="5" customFormat="false" ht="15" hidden="false" customHeight="false" outlineLevel="0" collapsed="false">
      <c r="B5" s="5" t="s">
        <v>62</v>
      </c>
      <c r="C5" s="17" t="n">
        <f aca="false">Assumptions!$C$12*Assumptions!$C$41</f>
        <v>265.85</v>
      </c>
      <c r="D5" s="7" t="s">
        <v>148</v>
      </c>
      <c r="F5" s="5" t="n">
        <v>1</v>
      </c>
      <c r="G5" s="19" t="n">
        <f aca="false">0+$C$19*Assumptions!$C$74/12</f>
        <v>76.095228375</v>
      </c>
      <c r="H5" s="20" t="n">
        <f aca="false">G5*$C$18</f>
        <v>0.533778471978964</v>
      </c>
    </row>
    <row r="6" customFormat="false" ht="15" hidden="false" customHeight="false" outlineLevel="0" collapsed="false">
      <c r="B6" s="5" t="s">
        <v>13</v>
      </c>
      <c r="C6" s="17" t="n">
        <f aca="false">Assumptions!$C$14*Assumptions!$C$42</f>
        <v>594</v>
      </c>
      <c r="D6" s="7" t="s">
        <v>149</v>
      </c>
      <c r="F6" s="5" t="n">
        <v>2</v>
      </c>
      <c r="G6" s="19" t="n">
        <f aca="false">G5+$C$19*Assumptions!$C$74/12</f>
        <v>152.19045675</v>
      </c>
      <c r="H6" s="20" t="n">
        <f aca="false">G6*$C$18</f>
        <v>1.06755694395793</v>
      </c>
    </row>
    <row r="7" customFormat="false" ht="15" hidden="false" customHeight="false" outlineLevel="0" collapsed="false">
      <c r="B7" s="5" t="s">
        <v>65</v>
      </c>
      <c r="C7" s="17" t="n">
        <f aca="false">Assumptions!$C$13*Assumptions!$C$43</f>
        <v>54</v>
      </c>
      <c r="D7" s="7" t="s">
        <v>150</v>
      </c>
      <c r="F7" s="5" t="n">
        <v>3</v>
      </c>
      <c r="G7" s="19" t="n">
        <f aca="false">G6+$C$19*Assumptions!$C$74/12</f>
        <v>228.285685125</v>
      </c>
      <c r="H7" s="20" t="n">
        <f aca="false">G7*$C$18</f>
        <v>1.60133541593689</v>
      </c>
    </row>
    <row r="8" customFormat="false" ht="15" hidden="false" customHeight="false" outlineLevel="0" collapsed="false">
      <c r="B8" s="5" t="s">
        <v>151</v>
      </c>
      <c r="C8" s="17" t="n">
        <f aca="false">Assumptions!$C$44+Assumptions!$C$11*Assumptions!$C$45+Assumptions!$C$12*Assumptions!$C$46+Assumptions!$C$14*Assumptions!$C$47</f>
        <v>234.032</v>
      </c>
      <c r="D8" s="7" t="s">
        <v>152</v>
      </c>
      <c r="F8" s="5" t="n">
        <v>4</v>
      </c>
      <c r="G8" s="19" t="n">
        <f aca="false">G7+$C$19*Assumptions!$C$74/12</f>
        <v>304.3809135</v>
      </c>
      <c r="H8" s="20" t="n">
        <f aca="false">G8*$C$18</f>
        <v>2.13511388791586</v>
      </c>
    </row>
    <row r="9" customFormat="false" ht="15" hidden="false" customHeight="false" outlineLevel="0" collapsed="false">
      <c r="B9" s="5" t="s">
        <v>153</v>
      </c>
      <c r="C9" s="17" t="n">
        <f aca="false">Assumptions!$C$48+C16*Assumptions!$C$49</f>
        <v>460</v>
      </c>
      <c r="D9" s="7" t="s">
        <v>154</v>
      </c>
      <c r="F9" s="5" t="n">
        <v>5</v>
      </c>
      <c r="G9" s="19" t="n">
        <f aca="false">G8+$C$19*Assumptions!$C$74/12</f>
        <v>380.476141875</v>
      </c>
      <c r="H9" s="20" t="n">
        <f aca="false">G9*$C$18</f>
        <v>2.66889235989482</v>
      </c>
    </row>
    <row r="10" customFormat="false" ht="15" hidden="false" customHeight="false" outlineLevel="0" collapsed="false">
      <c r="B10" s="5" t="s">
        <v>155</v>
      </c>
      <c r="C10" s="17" t="n">
        <f aca="false">Assumptions!$C$51+(Assumptions!$C$11+Assumptions!$C$12+Assumptions!$C$13)*Assumptions!$C$52</f>
        <v>121.164</v>
      </c>
      <c r="D10" s="7" t="s">
        <v>156</v>
      </c>
      <c r="F10" s="5" t="n">
        <v>6</v>
      </c>
      <c r="G10" s="19" t="n">
        <f aca="false">G9+$C$19*Assumptions!$C$74/12</f>
        <v>456.57137025</v>
      </c>
      <c r="H10" s="20" t="n">
        <f aca="false">G10*$C$18</f>
        <v>3.20267083187378</v>
      </c>
    </row>
    <row r="11" customFormat="false" ht="15" hidden="false" customHeight="false" outlineLevel="0" collapsed="false">
      <c r="B11" s="5" t="s">
        <v>77</v>
      </c>
      <c r="C11" s="17" t="n">
        <f aca="false">Assumptions!$C$15*Assumptions!$C$53*1.18/100</f>
        <v>2.36</v>
      </c>
      <c r="D11" s="7" t="s">
        <v>157</v>
      </c>
      <c r="F11" s="5" t="n">
        <v>7</v>
      </c>
      <c r="G11" s="19" t="n">
        <f aca="false">G10+$C$19*Assumptions!$C$74/12</f>
        <v>532.666598625</v>
      </c>
      <c r="H11" s="20" t="n">
        <f aca="false">G11*$C$18</f>
        <v>3.73644930385275</v>
      </c>
    </row>
    <row r="12" customFormat="false" ht="15" hidden="false" customHeight="false" outlineLevel="0" collapsed="false">
      <c r="B12" s="5" t="s">
        <v>158</v>
      </c>
      <c r="C12" s="17" t="n">
        <f aca="false">Assumptions!$C$54*1.18/100</f>
        <v>0.118</v>
      </c>
      <c r="D12" s="7" t="s">
        <v>159</v>
      </c>
      <c r="F12" s="5" t="n">
        <v>8</v>
      </c>
      <c r="G12" s="19" t="n">
        <f aca="false">G11+$C$19*Assumptions!$C$74/12</f>
        <v>608.761827</v>
      </c>
      <c r="H12" s="20" t="n">
        <f aca="false">G12*$C$18</f>
        <v>4.27022777583171</v>
      </c>
    </row>
    <row r="13" customFormat="false" ht="15" hidden="false" customHeight="false" outlineLevel="0" collapsed="false">
      <c r="B13" s="18" t="s">
        <v>160</v>
      </c>
      <c r="C13" s="21" t="n">
        <f aca="false">SUM(C4:C12)</f>
        <v>2626.804</v>
      </c>
      <c r="F13" s="5" t="n">
        <v>9</v>
      </c>
      <c r="G13" s="19" t="n">
        <f aca="false">G12+$C$19*Assumptions!$C$74/12</f>
        <v>684.857055375</v>
      </c>
      <c r="H13" s="20" t="n">
        <f aca="false">G13*$C$18</f>
        <v>4.80400624781068</v>
      </c>
    </row>
    <row r="14" customFormat="false" ht="15" hidden="false" customHeight="false" outlineLevel="0" collapsed="false">
      <c r="B14" s="5" t="s">
        <v>83</v>
      </c>
      <c r="C14" s="17" t="n">
        <f aca="false">C13*Assumptions!$C$55</f>
        <v>78.80412</v>
      </c>
      <c r="F14" s="5" t="n">
        <v>10</v>
      </c>
      <c r="G14" s="19" t="n">
        <f aca="false">G13+$C$19*Assumptions!$C$74/12</f>
        <v>760.95228375</v>
      </c>
      <c r="H14" s="20" t="n">
        <f aca="false">G14*$C$18</f>
        <v>5.33778471978964</v>
      </c>
    </row>
    <row r="15" customFormat="false" ht="15" hidden="false" customHeight="false" outlineLevel="0" collapsed="false">
      <c r="B15" s="18" t="s">
        <v>161</v>
      </c>
      <c r="C15" s="21" t="n">
        <f aca="false">C13+C14</f>
        <v>2705.60812</v>
      </c>
      <c r="F15" s="5" t="n">
        <v>11</v>
      </c>
      <c r="G15" s="19" t="n">
        <f aca="false">G14+$C$19*Assumptions!$C$74/12</f>
        <v>837.047512125</v>
      </c>
      <c r="H15" s="20" t="n">
        <f aca="false">G15*$C$18</f>
        <v>5.87156319176861</v>
      </c>
    </row>
    <row r="16" customFormat="false" ht="15" hidden="false" customHeight="false" outlineLevel="0" collapsed="false">
      <c r="B16" s="5" t="s">
        <v>162</v>
      </c>
      <c r="C16" s="22" t="n">
        <f aca="false">MIN(MAX(Assumptions!$C$15,Assumptions!$C$11+Assumptions!$C$12,Assumptions!$C$13),Assumptions!$C$50)</f>
        <v>280</v>
      </c>
      <c r="D16" s="7" t="s">
        <v>163</v>
      </c>
      <c r="F16" s="5" t="n">
        <v>12</v>
      </c>
      <c r="G16" s="19" t="n">
        <f aca="false">G15+$C$19*Assumptions!$C$74/12</f>
        <v>913.1427405</v>
      </c>
      <c r="H16" s="20" t="n">
        <f aca="false">G16*$C$18</f>
        <v>6.40534166374757</v>
      </c>
    </row>
    <row r="17" customFormat="false" ht="15" hidden="false" customHeight="false" outlineLevel="0" collapsed="false">
      <c r="F17" s="5" t="n">
        <v>13</v>
      </c>
      <c r="G17" s="19" t="n">
        <f aca="false">G16+$C$19*Assumptions!$C$75/12</f>
        <v>1006.148019625</v>
      </c>
      <c r="H17" s="20" t="n">
        <f aca="false">G17*$C$18</f>
        <v>7.05773757394408</v>
      </c>
    </row>
    <row r="18" customFormat="false" ht="15" hidden="false" customHeight="false" outlineLevel="0" collapsed="false">
      <c r="B18" s="5" t="s">
        <v>164</v>
      </c>
      <c r="C18" s="23" t="n">
        <f aca="false">(1+Assumptions!$C$70)^(1/12)-1</f>
        <v>0.00701461160414008</v>
      </c>
      <c r="F18" s="5" t="n">
        <v>14</v>
      </c>
      <c r="G18" s="19" t="n">
        <f aca="false">G17+$C$19*Assumptions!$C$75/12</f>
        <v>1099.15329875</v>
      </c>
      <c r="H18" s="20" t="n">
        <f aca="false">G18*$C$18</f>
        <v>7.71013348414059</v>
      </c>
    </row>
    <row r="19" customFormat="false" ht="15" hidden="false" customHeight="false" outlineLevel="0" collapsed="false">
      <c r="B19" s="5" t="s">
        <v>165</v>
      </c>
      <c r="C19" s="17" t="n">
        <f aca="false">C15*Assumptions!$C$69</f>
        <v>2029.20609</v>
      </c>
      <c r="F19" s="5" t="n">
        <v>15</v>
      </c>
      <c r="G19" s="19" t="n">
        <f aca="false">G18+$C$19*Assumptions!$C$75/12</f>
        <v>1192.158577875</v>
      </c>
      <c r="H19" s="20" t="n">
        <f aca="false">G19*$C$18</f>
        <v>8.3625293943371</v>
      </c>
    </row>
    <row r="20" customFormat="false" ht="15" hidden="false" customHeight="false" outlineLevel="0" collapsed="false">
      <c r="B20" s="18" t="s">
        <v>166</v>
      </c>
      <c r="C20" s="21" t="n">
        <f aca="false">SUM(H5:H28)</f>
        <v>169.385701774658</v>
      </c>
      <c r="F20" s="5" t="n">
        <v>16</v>
      </c>
      <c r="G20" s="19" t="n">
        <f aca="false">G19+$C$19*Assumptions!$C$75/12</f>
        <v>1285.163857</v>
      </c>
      <c r="H20" s="20" t="n">
        <f aca="false">G20*$C$18</f>
        <v>9.01492530453362</v>
      </c>
    </row>
    <row r="21" customFormat="false" ht="15" hidden="false" customHeight="false" outlineLevel="0" collapsed="false">
      <c r="B21" s="18" t="s">
        <v>167</v>
      </c>
      <c r="C21" s="24" t="n">
        <f aca="false">C15+C20</f>
        <v>2874.99382177466</v>
      </c>
      <c r="F21" s="5" t="n">
        <v>17</v>
      </c>
      <c r="G21" s="19" t="n">
        <f aca="false">G20+$C$19*Assumptions!$C$75/12</f>
        <v>1378.169136125</v>
      </c>
      <c r="H21" s="20" t="n">
        <f aca="false">G21*$C$18</f>
        <v>9.66732121473013</v>
      </c>
    </row>
    <row r="22" customFormat="false" ht="15" hidden="false" customHeight="false" outlineLevel="0" collapsed="false">
      <c r="B22" s="5" t="s">
        <v>168</v>
      </c>
      <c r="C22" s="17" t="n">
        <f aca="false">C21*Assumptions!$C$69</f>
        <v>2156.24536633099</v>
      </c>
      <c r="F22" s="5" t="n">
        <v>18</v>
      </c>
      <c r="G22" s="19" t="n">
        <f aca="false">G21+$C$19*Assumptions!$C$75/12</f>
        <v>1471.17441525</v>
      </c>
      <c r="H22" s="20" t="n">
        <f aca="false">G22*$C$18</f>
        <v>10.3197171249266</v>
      </c>
    </row>
    <row r="23" customFormat="false" ht="15" hidden="false" customHeight="false" outlineLevel="0" collapsed="false">
      <c r="B23" s="5" t="s">
        <v>169</v>
      </c>
      <c r="C23" s="19" t="n">
        <f aca="false">C21-C22</f>
        <v>718.748455443664</v>
      </c>
      <c r="F23" s="5" t="n">
        <v>19</v>
      </c>
      <c r="G23" s="19" t="n">
        <f aca="false">G22+$C$19*Assumptions!$C$75/12</f>
        <v>1564.179694375</v>
      </c>
      <c r="H23" s="20" t="n">
        <f aca="false">G23*$C$18</f>
        <v>10.9721130351232</v>
      </c>
    </row>
    <row r="24" customFormat="false" ht="15" hidden="false" customHeight="false" outlineLevel="0" collapsed="false">
      <c r="F24" s="5" t="n">
        <v>20</v>
      </c>
      <c r="G24" s="19" t="n">
        <f aca="false">G23+$C$19*Assumptions!$C$75/12</f>
        <v>1657.1849735</v>
      </c>
      <c r="H24" s="20" t="n">
        <f aca="false">G24*$C$18</f>
        <v>11.6245089453197</v>
      </c>
    </row>
    <row r="25" customFormat="false" ht="15" hidden="false" customHeight="false" outlineLevel="0" collapsed="false">
      <c r="B25" s="5" t="s">
        <v>170</v>
      </c>
      <c r="C25" s="17" t="n">
        <f aca="false">MIN(0.0928*Assumptions!$C$11+0.1264*Assumptions!$C$12+0.1464*Assumptions!$C$13,10)</f>
        <v>10</v>
      </c>
      <c r="D25" s="7" t="s">
        <v>171</v>
      </c>
      <c r="F25" s="5" t="n">
        <v>21</v>
      </c>
      <c r="G25" s="19" t="n">
        <f aca="false">G24+$C$19*Assumptions!$C$75/12</f>
        <v>1750.190252625</v>
      </c>
      <c r="H25" s="20" t="n">
        <f aca="false">G25*$C$18</f>
        <v>12.2769048555162</v>
      </c>
    </row>
    <row r="26" customFormat="false" ht="15" hidden="false" customHeight="false" outlineLevel="0" collapsed="false">
      <c r="B26" s="5" t="s">
        <v>172</v>
      </c>
      <c r="C26" s="17" t="n">
        <f aca="false">0.232*Assumptions!$C$11+0.316*Assumptions!$C$12+0.366*Assumptions!$C$13</f>
        <v>145.806</v>
      </c>
      <c r="D26" s="7" t="s">
        <v>173</v>
      </c>
      <c r="F26" s="5" t="n">
        <v>22</v>
      </c>
      <c r="G26" s="19" t="n">
        <f aca="false">G25+$C$19*Assumptions!$C$75/12</f>
        <v>1843.19553175</v>
      </c>
      <c r="H26" s="20" t="n">
        <f aca="false">G26*$C$18</f>
        <v>12.9293007657127</v>
      </c>
    </row>
    <row r="27" customFormat="false" ht="15" hidden="false" customHeight="false" outlineLevel="0" collapsed="false">
      <c r="F27" s="5" t="n">
        <v>23</v>
      </c>
      <c r="G27" s="19" t="n">
        <f aca="false">G26+$C$19*Assumptions!$C$75/12</f>
        <v>1936.200810875</v>
      </c>
      <c r="H27" s="20" t="n">
        <f aca="false">G27*$C$18</f>
        <v>13.5816966759092</v>
      </c>
    </row>
    <row r="28" customFormat="false" ht="15" hidden="false" customHeight="false" outlineLevel="0" collapsed="false">
      <c r="B28" s="5" t="s">
        <v>174</v>
      </c>
      <c r="C28" s="17" t="n">
        <f aca="false">Assumptions!$C$14*Assumptions!$C$91*Assumptions!$C$92</f>
        <v>405</v>
      </c>
      <c r="F28" s="5" t="n">
        <v>24</v>
      </c>
      <c r="G28" s="19" t="n">
        <f aca="false">G27+$C$19*Assumptions!$C$75/12</f>
        <v>2029.20609</v>
      </c>
      <c r="H28" s="20" t="n">
        <f aca="false">G28*$C$18</f>
        <v>14.2340925861057</v>
      </c>
    </row>
    <row r="31" customFormat="false" ht="15" hidden="false" customHeight="false" outlineLevel="0" collapsed="false">
      <c r="F31" s="18" t="s">
        <v>175</v>
      </c>
      <c r="G31" s="25" t="n">
        <f aca="false">'Financial Model'!T51</f>
        <v>0</v>
      </c>
    </row>
    <row r="32" customFormat="false" ht="15" hidden="false" customHeight="false" outlineLevel="0" collapsed="false">
      <c r="F32" s="2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8" min="3" style="0" width="13"/>
    <col collapsed="false" customWidth="true" hidden="false" outlineLevel="0" max="9" min="9" style="0" width="9"/>
    <col collapsed="false" customWidth="true" hidden="false" outlineLevel="0" max="11" min="10" style="0" width="13"/>
    <col collapsed="false" customWidth="true" hidden="false" outlineLevel="0" max="14" min="12" style="0" width="12"/>
  </cols>
  <sheetData>
    <row r="1" customFormat="false" ht="16.15" hidden="false" customHeight="false" outlineLevel="0" collapsed="false">
      <c r="B1" s="1" t="s">
        <v>177</v>
      </c>
    </row>
    <row r="2" customFormat="false" ht="15" hidden="false" customHeight="false" outlineLevel="0" collapsed="false">
      <c r="G2" s="7" t="s">
        <v>178</v>
      </c>
    </row>
    <row r="3" customFormat="false" ht="15" hidden="false" customHeight="false" outlineLevel="0" collapsed="false">
      <c r="B3" s="15" t="s">
        <v>179</v>
      </c>
      <c r="C3" s="15" t="s">
        <v>180</v>
      </c>
      <c r="D3" s="15" t="s">
        <v>181</v>
      </c>
      <c r="E3" s="15" t="s">
        <v>182</v>
      </c>
      <c r="F3" s="15" t="s">
        <v>183</v>
      </c>
      <c r="G3" s="15" t="s">
        <v>184</v>
      </c>
      <c r="H3" s="15" t="s">
        <v>185</v>
      </c>
      <c r="I3" s="15" t="s">
        <v>186</v>
      </c>
      <c r="J3" s="15" t="s">
        <v>187</v>
      </c>
      <c r="K3" s="15" t="s">
        <v>188</v>
      </c>
      <c r="L3" s="15" t="s">
        <v>189</v>
      </c>
      <c r="M3" s="15" t="s">
        <v>190</v>
      </c>
      <c r="N3" s="15" t="s">
        <v>191</v>
      </c>
    </row>
    <row r="4" customFormat="false" ht="15" hidden="false" customHeight="false" outlineLevel="0" collapsed="false">
      <c r="B4" s="5" t="n">
        <v>1</v>
      </c>
      <c r="C4" s="26" t="n">
        <f aca="false">Assumptions!$C$11*Assumptions!$C$23*Assumptions!$C$31*Assumptions!$C$33*(1-Assumptions!$C$35)^(B4-1)</f>
        <v>829267.96231224</v>
      </c>
      <c r="D4" s="26" t="n">
        <f aca="false">Assumptions!$C$12*Assumptions!$C$23*Assumptions!$C$32*Assumptions!$C$33*(1-Assumptions!$C$36)^(B4-1)</f>
        <v>145200.205035432</v>
      </c>
      <c r="E4" s="27" t="n">
        <f aca="false">C4+D4</f>
        <v>974468.167347672</v>
      </c>
      <c r="F4" s="26" t="n">
        <f aca="false">E4*Assumptions!$C$34</f>
        <v>877021.350612905</v>
      </c>
      <c r="G4" s="26" t="n">
        <f aca="false">Assumptions!$C$19*Assumptions!$C$22*Assumptions!$C$15*Assumptions!$C$23</f>
        <v>701280</v>
      </c>
      <c r="H4" s="27" t="n">
        <f aca="false">MIN(F4,G4)</f>
        <v>701280</v>
      </c>
      <c r="I4" s="28" t="n">
        <f aca="false">H4/(Assumptions!$C$15*Assumptions!$C$23)</f>
        <v>0.4</v>
      </c>
      <c r="J4" s="27" t="n">
        <f aca="false">F4-H4</f>
        <v>175741.350612905</v>
      </c>
      <c r="K4" s="26" t="n">
        <f aca="false">J4*Assumptions!$C$37</f>
        <v>105444.810367743</v>
      </c>
      <c r="L4" s="5" t="str">
        <f aca="false">IF(I4&gt;=Assumptions!$C$19*(1-Assumptions!$C$20),"PASS","FAIL")</f>
        <v>PASS</v>
      </c>
      <c r="M4" s="5" t="str">
        <f aca="false">IF(I4&lt;=Assumptions!$C$19*Assumptions!$C$21+0.0000001,"PASS","FAIL")</f>
        <v>PASS</v>
      </c>
      <c r="N4" s="27" t="n">
        <f aca="false">J4-K4</f>
        <v>70296.540245162</v>
      </c>
    </row>
    <row r="5" customFormat="false" ht="15" hidden="false" customHeight="false" outlineLevel="0" collapsed="false">
      <c r="B5" s="5" t="n">
        <v>2</v>
      </c>
      <c r="C5" s="26" t="n">
        <f aca="false">Assumptions!$C$11*Assumptions!$C$23*Assumptions!$C$31*Assumptions!$C$33*(1-Assumptions!$C$35)^(B5-1)</f>
        <v>825121.622500679</v>
      </c>
      <c r="D5" s="26" t="n">
        <f aca="false">Assumptions!$C$12*Assumptions!$C$23*Assumptions!$C$32*Assumptions!$C$33*(1-Assumptions!$C$36)^(B5-1)</f>
        <v>144909.804625361</v>
      </c>
      <c r="E5" s="27" t="n">
        <f aca="false">C5+D5</f>
        <v>970031.42712604</v>
      </c>
      <c r="F5" s="26" t="n">
        <f aca="false">E5*Assumptions!$C$34</f>
        <v>873028.284413436</v>
      </c>
      <c r="G5" s="26" t="n">
        <f aca="false">Assumptions!$C$19*Assumptions!$C$22*Assumptions!$C$15*Assumptions!$C$23</f>
        <v>701280</v>
      </c>
      <c r="H5" s="27" t="n">
        <f aca="false">MIN(F5,G5)</f>
        <v>701280</v>
      </c>
      <c r="I5" s="28" t="n">
        <f aca="false">H5/(Assumptions!$C$15*Assumptions!$C$23)</f>
        <v>0.4</v>
      </c>
      <c r="J5" s="27" t="n">
        <f aca="false">F5-H5</f>
        <v>171748.284413436</v>
      </c>
      <c r="K5" s="26" t="n">
        <f aca="false">J5*Assumptions!$C$37</f>
        <v>103048.970648062</v>
      </c>
      <c r="L5" s="5" t="str">
        <f aca="false">IF(I5&gt;=Assumptions!$C$19*(1-Assumptions!$C$20),"PASS","FAIL")</f>
        <v>PASS</v>
      </c>
      <c r="M5" s="5" t="str">
        <f aca="false">IF(I5&lt;=Assumptions!$C$19*Assumptions!$C$21+0.0000001,"PASS","FAIL")</f>
        <v>PASS</v>
      </c>
      <c r="N5" s="27" t="n">
        <f aca="false">J5-K5</f>
        <v>68699.3137653744</v>
      </c>
    </row>
    <row r="6" customFormat="false" ht="15" hidden="false" customHeight="false" outlineLevel="0" collapsed="false">
      <c r="B6" s="5" t="n">
        <v>3</v>
      </c>
      <c r="C6" s="26" t="n">
        <f aca="false">Assumptions!$C$11*Assumptions!$C$23*Assumptions!$C$31*Assumptions!$C$33*(1-Assumptions!$C$35)^(B6-1)</f>
        <v>820996.014388175</v>
      </c>
      <c r="D6" s="26" t="n">
        <f aca="false">Assumptions!$C$12*Assumptions!$C$23*Assumptions!$C$32*Assumptions!$C$33*(1-Assumptions!$C$36)^(B6-1)</f>
        <v>144619.98501611</v>
      </c>
      <c r="E6" s="27" t="n">
        <f aca="false">C6+D6</f>
        <v>965615.999404286</v>
      </c>
      <c r="F6" s="26" t="n">
        <f aca="false">E6*Assumptions!$C$34</f>
        <v>869054.399463857</v>
      </c>
      <c r="G6" s="26" t="n">
        <f aca="false">Assumptions!$C$19*Assumptions!$C$22*Assumptions!$C$15*Assumptions!$C$23</f>
        <v>701280</v>
      </c>
      <c r="H6" s="27" t="n">
        <f aca="false">MIN(F6,G6)</f>
        <v>701280</v>
      </c>
      <c r="I6" s="28" t="n">
        <f aca="false">H6/(Assumptions!$C$15*Assumptions!$C$23)</f>
        <v>0.4</v>
      </c>
      <c r="J6" s="27" t="n">
        <f aca="false">F6-H6</f>
        <v>167774.399463857</v>
      </c>
      <c r="K6" s="26" t="n">
        <f aca="false">J6*Assumptions!$C$37</f>
        <v>100664.639678314</v>
      </c>
      <c r="L6" s="5" t="str">
        <f aca="false">IF(I6&gt;=Assumptions!$C$19*(1-Assumptions!$C$20),"PASS","FAIL")</f>
        <v>PASS</v>
      </c>
      <c r="M6" s="5" t="str">
        <f aca="false">IF(I6&lt;=Assumptions!$C$19*Assumptions!$C$21+0.0000001,"PASS","FAIL")</f>
        <v>PASS</v>
      </c>
      <c r="N6" s="27" t="n">
        <f aca="false">J6-K6</f>
        <v>67109.7597855429</v>
      </c>
    </row>
    <row r="7" customFormat="false" ht="15" hidden="false" customHeight="false" outlineLevel="0" collapsed="false">
      <c r="B7" s="5" t="n">
        <v>4</v>
      </c>
      <c r="C7" s="26" t="n">
        <f aca="false">Assumptions!$C$11*Assumptions!$C$23*Assumptions!$C$31*Assumptions!$C$33*(1-Assumptions!$C$35)^(B7-1)</f>
        <v>816891.034316235</v>
      </c>
      <c r="D7" s="26" t="n">
        <f aca="false">Assumptions!$C$12*Assumptions!$C$23*Assumptions!$C$32*Assumptions!$C$33*(1-Assumptions!$C$36)^(B7-1)</f>
        <v>144330.745046078</v>
      </c>
      <c r="E7" s="27" t="n">
        <f aca="false">C7+D7</f>
        <v>961221.779362313</v>
      </c>
      <c r="F7" s="26" t="n">
        <f aca="false">E7*Assumptions!$C$34</f>
        <v>865099.601426082</v>
      </c>
      <c r="G7" s="26" t="n">
        <f aca="false">Assumptions!$C$19*Assumptions!$C$22*Assumptions!$C$15*Assumptions!$C$23</f>
        <v>701280</v>
      </c>
      <c r="H7" s="27" t="n">
        <f aca="false">MIN(F7,G7)</f>
        <v>701280</v>
      </c>
      <c r="I7" s="28" t="n">
        <f aca="false">H7/(Assumptions!$C$15*Assumptions!$C$23)</f>
        <v>0.4</v>
      </c>
      <c r="J7" s="27" t="n">
        <f aca="false">F7-H7</f>
        <v>163819.601426082</v>
      </c>
      <c r="K7" s="26" t="n">
        <f aca="false">J7*Assumptions!$C$37</f>
        <v>98291.7608556489</v>
      </c>
      <c r="L7" s="5" t="str">
        <f aca="false">IF(I7&gt;=Assumptions!$C$19*(1-Assumptions!$C$20),"PASS","FAIL")</f>
        <v>PASS</v>
      </c>
      <c r="M7" s="5" t="str">
        <f aca="false">IF(I7&lt;=Assumptions!$C$19*Assumptions!$C$21+0.0000001,"PASS","FAIL")</f>
        <v>PASS</v>
      </c>
      <c r="N7" s="27" t="n">
        <f aca="false">J7-K7</f>
        <v>65527.8405704326</v>
      </c>
    </row>
    <row r="8" customFormat="false" ht="15" hidden="false" customHeight="false" outlineLevel="0" collapsed="false">
      <c r="B8" s="5" t="n">
        <v>5</v>
      </c>
      <c r="C8" s="26" t="n">
        <f aca="false">Assumptions!$C$11*Assumptions!$C$23*Assumptions!$C$31*Assumptions!$C$33*(1-Assumptions!$C$35)^(B8-1)</f>
        <v>812806.579144653</v>
      </c>
      <c r="D8" s="26" t="n">
        <f aca="false">Assumptions!$C$12*Assumptions!$C$23*Assumptions!$C$32*Assumptions!$C$33*(1-Assumptions!$C$36)^(B8-1)</f>
        <v>144042.083555986</v>
      </c>
      <c r="E8" s="27" t="n">
        <f aca="false">C8+D8</f>
        <v>956848.66270064</v>
      </c>
      <c r="F8" s="26" t="n">
        <f aca="false">E8*Assumptions!$C$34</f>
        <v>861163.796430576</v>
      </c>
      <c r="G8" s="26" t="n">
        <f aca="false">Assumptions!$C$19*Assumptions!$C$22*Assumptions!$C$15*Assumptions!$C$23</f>
        <v>701280</v>
      </c>
      <c r="H8" s="27" t="n">
        <f aca="false">MIN(F8,G8)</f>
        <v>701280</v>
      </c>
      <c r="I8" s="28" t="n">
        <f aca="false">H8/(Assumptions!$C$15*Assumptions!$C$23)</f>
        <v>0.4</v>
      </c>
      <c r="J8" s="27" t="n">
        <f aca="false">F8-H8</f>
        <v>159883.796430576</v>
      </c>
      <c r="K8" s="26" t="n">
        <f aca="false">J8*Assumptions!$C$37</f>
        <v>95930.2778583453</v>
      </c>
      <c r="L8" s="5" t="str">
        <f aca="false">IF(I8&gt;=Assumptions!$C$19*(1-Assumptions!$C$20),"PASS","FAIL")</f>
        <v>PASS</v>
      </c>
      <c r="M8" s="5" t="str">
        <f aca="false">IF(I8&lt;=Assumptions!$C$19*Assumptions!$C$21+0.0000001,"PASS","FAIL")</f>
        <v>PASS</v>
      </c>
      <c r="N8" s="27" t="n">
        <f aca="false">J8-K8</f>
        <v>63953.5185722302</v>
      </c>
    </row>
    <row r="9" customFormat="false" ht="15" hidden="false" customHeight="false" outlineLevel="0" collapsed="false">
      <c r="B9" s="5" t="n">
        <v>6</v>
      </c>
      <c r="C9" s="26" t="n">
        <f aca="false">Assumptions!$C$11*Assumptions!$C$23*Assumptions!$C$31*Assumptions!$C$33*(1-Assumptions!$C$35)^(B9-1)</f>
        <v>808742.54624893</v>
      </c>
      <c r="D9" s="26" t="n">
        <f aca="false">Assumptions!$C$12*Assumptions!$C$23*Assumptions!$C$32*Assumptions!$C$33*(1-Assumptions!$C$36)^(B9-1)</f>
        <v>143753.999388874</v>
      </c>
      <c r="E9" s="27" t="n">
        <f aca="false">C9+D9</f>
        <v>952496.545637804</v>
      </c>
      <c r="F9" s="26" t="n">
        <f aca="false">E9*Assumptions!$C$34</f>
        <v>857246.891074024</v>
      </c>
      <c r="G9" s="26" t="n">
        <f aca="false">Assumptions!$C$19*Assumptions!$C$22*Assumptions!$C$15*Assumptions!$C$23</f>
        <v>701280</v>
      </c>
      <c r="H9" s="27" t="n">
        <f aca="false">MIN(F9,G9)</f>
        <v>701280</v>
      </c>
      <c r="I9" s="28" t="n">
        <f aca="false">H9/(Assumptions!$C$15*Assumptions!$C$23)</f>
        <v>0.4</v>
      </c>
      <c r="J9" s="27" t="n">
        <f aca="false">F9-H9</f>
        <v>155966.891074024</v>
      </c>
      <c r="K9" s="26" t="n">
        <f aca="false">J9*Assumptions!$C$37</f>
        <v>93580.1346444143</v>
      </c>
      <c r="L9" s="5" t="str">
        <f aca="false">IF(I9&gt;=Assumptions!$C$19*(1-Assumptions!$C$20),"PASS","FAIL")</f>
        <v>PASS</v>
      </c>
      <c r="M9" s="5" t="str">
        <f aca="false">IF(I9&lt;=Assumptions!$C$19*Assumptions!$C$21+0.0000001,"PASS","FAIL")</f>
        <v>PASS</v>
      </c>
      <c r="N9" s="27" t="n">
        <f aca="false">J9-K9</f>
        <v>62386.7564296095</v>
      </c>
    </row>
    <row r="10" customFormat="false" ht="15" hidden="false" customHeight="false" outlineLevel="0" collapsed="false">
      <c r="B10" s="5" t="n">
        <v>7</v>
      </c>
      <c r="C10" s="26" t="n">
        <f aca="false">Assumptions!$C$11*Assumptions!$C$23*Assumptions!$C$31*Assumptions!$C$33*(1-Assumptions!$C$35)^(B10-1)</f>
        <v>804698.833517685</v>
      </c>
      <c r="D10" s="26" t="n">
        <f aca="false">Assumptions!$C$12*Assumptions!$C$23*Assumptions!$C$32*Assumptions!$C$33*(1-Assumptions!$C$36)^(B10-1)</f>
        <v>143466.491390096</v>
      </c>
      <c r="E10" s="27" t="n">
        <f aca="false">C10+D10</f>
        <v>948165.324907782</v>
      </c>
      <c r="F10" s="26" t="n">
        <f aca="false">E10*Assumptions!$C$34</f>
        <v>853348.792417004</v>
      </c>
      <c r="G10" s="26" t="n">
        <f aca="false">Assumptions!$C$19*Assumptions!$C$22*Assumptions!$C$15*Assumptions!$C$23</f>
        <v>701280</v>
      </c>
      <c r="H10" s="27" t="n">
        <f aca="false">MIN(F10,G10)</f>
        <v>701280</v>
      </c>
      <c r="I10" s="28" t="n">
        <f aca="false">H10/(Assumptions!$C$15*Assumptions!$C$23)</f>
        <v>0.4</v>
      </c>
      <c r="J10" s="27" t="n">
        <f aca="false">F10-H10</f>
        <v>152068.792417004</v>
      </c>
      <c r="K10" s="26" t="n">
        <f aca="false">J10*Assumptions!$C$37</f>
        <v>91241.2754502021</v>
      </c>
      <c r="L10" s="5" t="str">
        <f aca="false">IF(I10&gt;=Assumptions!$C$19*(1-Assumptions!$C$20),"PASS","FAIL")</f>
        <v>PASS</v>
      </c>
      <c r="M10" s="5" t="str">
        <f aca="false">IF(I10&lt;=Assumptions!$C$19*Assumptions!$C$21+0.0000001,"PASS","FAIL")</f>
        <v>PASS</v>
      </c>
      <c r="N10" s="27" t="n">
        <f aca="false">J10-K10</f>
        <v>60827.5169668014</v>
      </c>
    </row>
    <row r="11" customFormat="false" ht="15" hidden="false" customHeight="false" outlineLevel="0" collapsed="false">
      <c r="B11" s="5" t="n">
        <v>8</v>
      </c>
      <c r="C11" s="26" t="n">
        <f aca="false">Assumptions!$C$11*Assumptions!$C$23*Assumptions!$C$31*Assumptions!$C$33*(1-Assumptions!$C$35)^(B11-1)</f>
        <v>800675.339350097</v>
      </c>
      <c r="D11" s="26" t="n">
        <f aca="false">Assumptions!$C$12*Assumptions!$C$23*Assumptions!$C$32*Assumptions!$C$33*(1-Assumptions!$C$36)^(B11-1)</f>
        <v>143179.558407316</v>
      </c>
      <c r="E11" s="27" t="n">
        <f aca="false">C11+D11</f>
        <v>943854.897757413</v>
      </c>
      <c r="F11" s="26" t="n">
        <f aca="false">E11*Assumptions!$C$34</f>
        <v>849469.407981672</v>
      </c>
      <c r="G11" s="26" t="n">
        <f aca="false">Assumptions!$C$19*Assumptions!$C$22*Assumptions!$C$15*Assumptions!$C$23</f>
        <v>701280</v>
      </c>
      <c r="H11" s="27" t="n">
        <f aca="false">MIN(F11,G11)</f>
        <v>701280</v>
      </c>
      <c r="I11" s="28" t="n">
        <f aca="false">H11/(Assumptions!$C$15*Assumptions!$C$23)</f>
        <v>0.4</v>
      </c>
      <c r="J11" s="27" t="n">
        <f aca="false">F11-H11</f>
        <v>148189.407981672</v>
      </c>
      <c r="K11" s="26" t="n">
        <f aca="false">J11*Assumptions!$C$37</f>
        <v>88913.6447890031</v>
      </c>
      <c r="L11" s="5" t="str">
        <f aca="false">IF(I11&gt;=Assumptions!$C$19*(1-Assumptions!$C$20),"PASS","FAIL")</f>
        <v>PASS</v>
      </c>
      <c r="M11" s="5" t="str">
        <f aca="false">IF(I11&lt;=Assumptions!$C$19*Assumptions!$C$21+0.0000001,"PASS","FAIL")</f>
        <v>PASS</v>
      </c>
      <c r="N11" s="27" t="n">
        <f aca="false">J11-K11</f>
        <v>59275.7631926687</v>
      </c>
    </row>
    <row r="12" customFormat="false" ht="15" hidden="false" customHeight="false" outlineLevel="0" collapsed="false">
      <c r="B12" s="5" t="n">
        <v>9</v>
      </c>
      <c r="C12" s="26" t="n">
        <f aca="false">Assumptions!$C$11*Assumptions!$C$23*Assumptions!$C$31*Assumptions!$C$33*(1-Assumptions!$C$35)^(B12-1)</f>
        <v>796671.962653347</v>
      </c>
      <c r="D12" s="26" t="n">
        <f aca="false">Assumptions!$C$12*Assumptions!$C$23*Assumptions!$C$32*Assumptions!$C$33*(1-Assumptions!$C$36)^(B12-1)</f>
        <v>142893.199290501</v>
      </c>
      <c r="E12" s="27" t="n">
        <f aca="false">C12+D12</f>
        <v>939565.161943848</v>
      </c>
      <c r="F12" s="26" t="n">
        <f aca="false">E12*Assumptions!$C$34</f>
        <v>845608.645749463</v>
      </c>
      <c r="G12" s="26" t="n">
        <f aca="false">Assumptions!$C$19*Assumptions!$C$22*Assumptions!$C$15*Assumptions!$C$23</f>
        <v>701280</v>
      </c>
      <c r="H12" s="27" t="n">
        <f aca="false">MIN(F12,G12)</f>
        <v>701280</v>
      </c>
      <c r="I12" s="28" t="n">
        <f aca="false">H12/(Assumptions!$C$15*Assumptions!$C$23)</f>
        <v>0.4</v>
      </c>
      <c r="J12" s="27" t="n">
        <f aca="false">F12-H12</f>
        <v>144328.645749463</v>
      </c>
      <c r="K12" s="26" t="n">
        <f aca="false">J12*Assumptions!$C$37</f>
        <v>86597.1874496779</v>
      </c>
      <c r="L12" s="5" t="str">
        <f aca="false">IF(I12&gt;=Assumptions!$C$19*(1-Assumptions!$C$20),"PASS","FAIL")</f>
        <v>PASS</v>
      </c>
      <c r="M12" s="5" t="str">
        <f aca="false">IF(I12&lt;=Assumptions!$C$19*Assumptions!$C$21+0.0000001,"PASS","FAIL")</f>
        <v>PASS</v>
      </c>
      <c r="N12" s="27" t="n">
        <f aca="false">J12-K12</f>
        <v>57731.4582997853</v>
      </c>
    </row>
    <row r="13" customFormat="false" ht="15" hidden="false" customHeight="false" outlineLevel="0" collapsed="false">
      <c r="B13" s="5" t="n">
        <v>10</v>
      </c>
      <c r="C13" s="26" t="n">
        <f aca="false">Assumptions!$C$11*Assumptions!$C$23*Assumptions!$C$31*Assumptions!$C$33*(1-Assumptions!$C$35)^(B13-1)</f>
        <v>792688.60284008</v>
      </c>
      <c r="D13" s="26" t="n">
        <f aca="false">Assumptions!$C$12*Assumptions!$C$23*Assumptions!$C$32*Assumptions!$C$33*(1-Assumptions!$C$36)^(B13-1)</f>
        <v>142607.41289192</v>
      </c>
      <c r="E13" s="27" t="n">
        <f aca="false">C13+D13</f>
        <v>935296.015732</v>
      </c>
      <c r="F13" s="26" t="n">
        <f aca="false">E13*Assumptions!$C$34</f>
        <v>841766.4141588</v>
      </c>
      <c r="G13" s="26" t="n">
        <f aca="false">Assumptions!$C$19*Assumptions!$C$22*Assumptions!$C$15*Assumptions!$C$23</f>
        <v>701280</v>
      </c>
      <c r="H13" s="27" t="n">
        <f aca="false">MIN(F13,G13)</f>
        <v>701280</v>
      </c>
      <c r="I13" s="28" t="n">
        <f aca="false">H13/(Assumptions!$C$15*Assumptions!$C$23)</f>
        <v>0.4</v>
      </c>
      <c r="J13" s="27" t="n">
        <f aca="false">F13-H13</f>
        <v>140486.4141588</v>
      </c>
      <c r="K13" s="26" t="n">
        <f aca="false">J13*Assumptions!$C$37</f>
        <v>84291.8484952802</v>
      </c>
      <c r="L13" s="5" t="str">
        <f aca="false">IF(I13&gt;=Assumptions!$C$19*(1-Assumptions!$C$20),"PASS","FAIL")</f>
        <v>PASS</v>
      </c>
      <c r="M13" s="5" t="str">
        <f aca="false">IF(I13&lt;=Assumptions!$C$19*Assumptions!$C$21+0.0000001,"PASS","FAIL")</f>
        <v>PASS</v>
      </c>
      <c r="N13" s="27" t="n">
        <f aca="false">J13-K13</f>
        <v>56194.5656635202</v>
      </c>
    </row>
    <row r="14" customFormat="false" ht="15" hidden="false" customHeight="false" outlineLevel="0" collapsed="false">
      <c r="B14" s="5" t="n">
        <v>11</v>
      </c>
      <c r="C14" s="26" t="n">
        <f aca="false">Assumptions!$C$11*Assumptions!$C$23*Assumptions!$C$31*Assumptions!$C$33*(1-Assumptions!$C$35)^(B14-1)</f>
        <v>788725.159825879</v>
      </c>
      <c r="D14" s="26" t="n">
        <f aca="false">Assumptions!$C$12*Assumptions!$C$23*Assumptions!$C$32*Assumptions!$C$33*(1-Assumptions!$C$36)^(B14-1)</f>
        <v>142322.198066137</v>
      </c>
      <c r="E14" s="27" t="n">
        <f aca="false">C14+D14</f>
        <v>931047.357892016</v>
      </c>
      <c r="F14" s="26" t="n">
        <f aca="false">E14*Assumptions!$C$34</f>
        <v>837942.622102814</v>
      </c>
      <c r="G14" s="26" t="n">
        <f aca="false">Assumptions!$C$19*Assumptions!$C$22*Assumptions!$C$15*Assumptions!$C$23</f>
        <v>701280</v>
      </c>
      <c r="H14" s="27" t="n">
        <f aca="false">MIN(F14,G14)</f>
        <v>701280</v>
      </c>
      <c r="I14" s="28" t="n">
        <f aca="false">H14/(Assumptions!$C$15*Assumptions!$C$23)</f>
        <v>0.4</v>
      </c>
      <c r="J14" s="27" t="n">
        <f aca="false">F14-H14</f>
        <v>136662.622102814</v>
      </c>
      <c r="K14" s="26" t="n">
        <f aca="false">J14*Assumptions!$C$37</f>
        <v>81997.5732616886</v>
      </c>
      <c r="L14" s="5" t="str">
        <f aca="false">IF(I14&gt;=Assumptions!$C$19*(1-Assumptions!$C$20),"PASS","FAIL")</f>
        <v>PASS</v>
      </c>
      <c r="M14" s="5" t="str">
        <f aca="false">IF(I14&lt;=Assumptions!$C$19*Assumptions!$C$21+0.0000001,"PASS","FAIL")</f>
        <v>PASS</v>
      </c>
      <c r="N14" s="27" t="n">
        <f aca="false">J14-K14</f>
        <v>54665.0488411258</v>
      </c>
    </row>
    <row r="15" customFormat="false" ht="15" hidden="false" customHeight="false" outlineLevel="0" collapsed="false">
      <c r="B15" s="5" t="n">
        <v>12</v>
      </c>
      <c r="C15" s="26" t="n">
        <f aca="false">Assumptions!$C$11*Assumptions!$C$23*Assumptions!$C$31*Assumptions!$C$33*(1-Assumptions!$C$35)^(B15-1)</f>
        <v>784781.53402675</v>
      </c>
      <c r="D15" s="26" t="n">
        <f aca="false">Assumptions!$C$12*Assumptions!$C$23*Assumptions!$C$32*Assumptions!$C$33*(1-Assumptions!$C$36)^(B15-1)</f>
        <v>142037.553670004</v>
      </c>
      <c r="E15" s="27" t="n">
        <f aca="false">C15+D15</f>
        <v>926819.087696754</v>
      </c>
      <c r="F15" s="26" t="n">
        <f aca="false">E15*Assumptions!$C$34</f>
        <v>834137.178927079</v>
      </c>
      <c r="G15" s="26" t="n">
        <f aca="false">Assumptions!$C$19*Assumptions!$C$22*Assumptions!$C$15*Assumptions!$C$23</f>
        <v>701280</v>
      </c>
      <c r="H15" s="27" t="n">
        <f aca="false">MIN(F15,G15)</f>
        <v>701280</v>
      </c>
      <c r="I15" s="28" t="n">
        <f aca="false">H15/(Assumptions!$C$15*Assumptions!$C$23)</f>
        <v>0.4</v>
      </c>
      <c r="J15" s="27" t="n">
        <f aca="false">F15-H15</f>
        <v>132857.178927079</v>
      </c>
      <c r="K15" s="26" t="n">
        <f aca="false">J15*Assumptions!$C$37</f>
        <v>79714.3073562474</v>
      </c>
      <c r="L15" s="5" t="str">
        <f aca="false">IF(I15&gt;=Assumptions!$C$19*(1-Assumptions!$C$20),"PASS","FAIL")</f>
        <v>PASS</v>
      </c>
      <c r="M15" s="5" t="str">
        <f aca="false">IF(I15&lt;=Assumptions!$C$19*Assumptions!$C$21+0.0000001,"PASS","FAIL")</f>
        <v>PASS</v>
      </c>
      <c r="N15" s="27" t="n">
        <f aca="false">J15-K15</f>
        <v>53142.8715708316</v>
      </c>
    </row>
    <row r="16" customFormat="false" ht="15" hidden="false" customHeight="false" outlineLevel="0" collapsed="false">
      <c r="B16" s="5" t="n">
        <v>13</v>
      </c>
      <c r="C16" s="26" t="n">
        <f aca="false">Assumptions!$C$11*Assumptions!$C$23*Assumptions!$C$31*Assumptions!$C$33*(1-Assumptions!$C$35)^(B16-1)</f>
        <v>780857.626356616</v>
      </c>
      <c r="D16" s="26" t="n">
        <f aca="false">Assumptions!$C$12*Assumptions!$C$23*Assumptions!$C$32*Assumptions!$C$33*(1-Assumptions!$C$36)^(B16-1)</f>
        <v>141753.478562664</v>
      </c>
      <c r="E16" s="27" t="n">
        <f aca="false">C16+D16</f>
        <v>922611.104919281</v>
      </c>
      <c r="F16" s="26" t="n">
        <f aca="false">E16*Assumptions!$C$34</f>
        <v>830349.994427352</v>
      </c>
      <c r="G16" s="26" t="n">
        <f aca="false">Assumptions!$C$19*Assumptions!$C$22*Assumptions!$C$15*Assumptions!$C$23</f>
        <v>701280</v>
      </c>
      <c r="H16" s="27" t="n">
        <f aca="false">MIN(F16,G16)</f>
        <v>701280</v>
      </c>
      <c r="I16" s="28" t="n">
        <f aca="false">H16/(Assumptions!$C$15*Assumptions!$C$23)</f>
        <v>0.4</v>
      </c>
      <c r="J16" s="27" t="n">
        <f aca="false">F16-H16</f>
        <v>129069.994427352</v>
      </c>
      <c r="K16" s="26" t="n">
        <f aca="false">J16*Assumptions!$C$37</f>
        <v>77441.9966564115</v>
      </c>
      <c r="L16" s="5" t="str">
        <f aca="false">IF(I16&gt;=Assumptions!$C$19*(1-Assumptions!$C$20),"PASS","FAIL")</f>
        <v>PASS</v>
      </c>
      <c r="M16" s="5" t="str">
        <f aca="false">IF(I16&lt;=Assumptions!$C$19*Assumptions!$C$21+0.0000001,"PASS","FAIL")</f>
        <v>PASS</v>
      </c>
      <c r="N16" s="27" t="n">
        <f aca="false">J16-K16</f>
        <v>51627.997770941</v>
      </c>
    </row>
    <row r="17" customFormat="false" ht="15" hidden="false" customHeight="false" outlineLevel="0" collapsed="false">
      <c r="B17" s="5" t="n">
        <v>14</v>
      </c>
      <c r="C17" s="26" t="n">
        <f aca="false">Assumptions!$C$11*Assumptions!$C$23*Assumptions!$C$31*Assumptions!$C$33*(1-Assumptions!$C$35)^(B17-1)</f>
        <v>776953.338224833</v>
      </c>
      <c r="D17" s="26" t="n">
        <f aca="false">Assumptions!$C$12*Assumptions!$C$23*Assumptions!$C$32*Assumptions!$C$33*(1-Assumptions!$C$36)^(B17-1)</f>
        <v>141469.971605539</v>
      </c>
      <c r="E17" s="27" t="n">
        <f aca="false">C17+D17</f>
        <v>918423.309830372</v>
      </c>
      <c r="F17" s="26" t="n">
        <f aca="false">E17*Assumptions!$C$34</f>
        <v>826580.978847335</v>
      </c>
      <c r="G17" s="26" t="n">
        <f aca="false">Assumptions!$C$19*Assumptions!$C$22*Assumptions!$C$15*Assumptions!$C$23</f>
        <v>701280</v>
      </c>
      <c r="H17" s="27" t="n">
        <f aca="false">MIN(F17,G17)</f>
        <v>701280</v>
      </c>
      <c r="I17" s="28" t="n">
        <f aca="false">H17/(Assumptions!$C$15*Assumptions!$C$23)</f>
        <v>0.4</v>
      </c>
      <c r="J17" s="27" t="n">
        <f aca="false">F17-H17</f>
        <v>125300.978847335</v>
      </c>
      <c r="K17" s="26" t="n">
        <f aca="false">J17*Assumptions!$C$37</f>
        <v>75180.587308401</v>
      </c>
      <c r="L17" s="5" t="str">
        <f aca="false">IF(I17&gt;=Assumptions!$C$19*(1-Assumptions!$C$20),"PASS","FAIL")</f>
        <v>PASS</v>
      </c>
      <c r="M17" s="5" t="str">
        <f aca="false">IF(I17&lt;=Assumptions!$C$19*Assumptions!$C$21+0.0000001,"PASS","FAIL")</f>
        <v>PASS</v>
      </c>
      <c r="N17" s="27" t="n">
        <f aca="false">J17-K17</f>
        <v>50120.391538934</v>
      </c>
    </row>
    <row r="18" customFormat="false" ht="15" hidden="false" customHeight="false" outlineLevel="0" collapsed="false">
      <c r="B18" s="5" t="n">
        <v>15</v>
      </c>
      <c r="C18" s="26" t="n">
        <f aca="false">Assumptions!$C$11*Assumptions!$C$23*Assumptions!$C$31*Assumptions!$C$33*(1-Assumptions!$C$35)^(B18-1)</f>
        <v>773068.571533709</v>
      </c>
      <c r="D18" s="26" t="n">
        <f aca="false">Assumptions!$C$12*Assumptions!$C$23*Assumptions!$C$32*Assumptions!$C$33*(1-Assumptions!$C$36)^(B18-1)</f>
        <v>141187.031662328</v>
      </c>
      <c r="E18" s="27" t="n">
        <f aca="false">C18+D18</f>
        <v>914255.603196037</v>
      </c>
      <c r="F18" s="26" t="n">
        <f aca="false">E18*Assumptions!$C$34</f>
        <v>822830.042876433</v>
      </c>
      <c r="G18" s="26" t="n">
        <f aca="false">Assumptions!$C$19*Assumptions!$C$22*Assumptions!$C$15*Assumptions!$C$23</f>
        <v>701280</v>
      </c>
      <c r="H18" s="27" t="n">
        <f aca="false">MIN(F18,G18)</f>
        <v>701280</v>
      </c>
      <c r="I18" s="28" t="n">
        <f aca="false">H18/(Assumptions!$C$15*Assumptions!$C$23)</f>
        <v>0.4</v>
      </c>
      <c r="J18" s="27" t="n">
        <f aca="false">F18-H18</f>
        <v>121550.042876433</v>
      </c>
      <c r="K18" s="26" t="n">
        <f aca="false">J18*Assumptions!$C$37</f>
        <v>72930.02572586</v>
      </c>
      <c r="L18" s="5" t="str">
        <f aca="false">IF(I18&gt;=Assumptions!$C$19*(1-Assumptions!$C$20),"PASS","FAIL")</f>
        <v>PASS</v>
      </c>
      <c r="M18" s="5" t="str">
        <f aca="false">IF(I18&lt;=Assumptions!$C$19*Assumptions!$C$21+0.0000001,"PASS","FAIL")</f>
        <v>PASS</v>
      </c>
      <c r="N18" s="27" t="n">
        <f aca="false">J18-K18</f>
        <v>48620.0171505733</v>
      </c>
    </row>
    <row r="19" customFormat="false" ht="15" hidden="false" customHeight="false" outlineLevel="0" collapsed="false">
      <c r="B19" s="5" t="n">
        <v>16</v>
      </c>
      <c r="C19" s="26" t="n">
        <f aca="false">Assumptions!$C$11*Assumptions!$C$23*Assumptions!$C$31*Assumptions!$C$33*(1-Assumptions!$C$35)^(B19-1)</f>
        <v>769203.22867604</v>
      </c>
      <c r="D19" s="26" t="n">
        <f aca="false">Assumptions!$C$12*Assumptions!$C$23*Assumptions!$C$32*Assumptions!$C$33*(1-Assumptions!$C$36)^(B19-1)</f>
        <v>140904.657599003</v>
      </c>
      <c r="E19" s="27" t="n">
        <f aca="false">C19+D19</f>
        <v>910107.886275044</v>
      </c>
      <c r="F19" s="26" t="n">
        <f aca="false">E19*Assumptions!$C$34</f>
        <v>819097.097647539</v>
      </c>
      <c r="G19" s="26" t="n">
        <f aca="false">Assumptions!$C$19*Assumptions!$C$22*Assumptions!$C$15*Assumptions!$C$23</f>
        <v>701280</v>
      </c>
      <c r="H19" s="27" t="n">
        <f aca="false">MIN(F19,G19)</f>
        <v>701280</v>
      </c>
      <c r="I19" s="28" t="n">
        <f aca="false">H19/(Assumptions!$C$15*Assumptions!$C$23)</f>
        <v>0.4</v>
      </c>
      <c r="J19" s="27" t="n">
        <f aca="false">F19-H19</f>
        <v>117817.097647539</v>
      </c>
      <c r="K19" s="26" t="n">
        <f aca="false">J19*Assumptions!$C$37</f>
        <v>70690.2585885236</v>
      </c>
      <c r="L19" s="5" t="str">
        <f aca="false">IF(I19&gt;=Assumptions!$C$19*(1-Assumptions!$C$20),"PASS","FAIL")</f>
        <v>PASS</v>
      </c>
      <c r="M19" s="5" t="str">
        <f aca="false">IF(I19&lt;=Assumptions!$C$19*Assumptions!$C$21+0.0000001,"PASS","FAIL")</f>
        <v>PASS</v>
      </c>
      <c r="N19" s="27" t="n">
        <f aca="false">J19-K19</f>
        <v>47126.8390590157</v>
      </c>
    </row>
    <row r="20" customFormat="false" ht="15" hidden="false" customHeight="false" outlineLevel="0" collapsed="false">
      <c r="B20" s="5" t="n">
        <v>17</v>
      </c>
      <c r="C20" s="26" t="n">
        <f aca="false">Assumptions!$C$11*Assumptions!$C$23*Assumptions!$C$31*Assumptions!$C$33*(1-Assumptions!$C$35)^(B20-1)</f>
        <v>765357.21253266</v>
      </c>
      <c r="D20" s="26" t="n">
        <f aca="false">Assumptions!$C$12*Assumptions!$C$23*Assumptions!$C$32*Assumptions!$C$33*(1-Assumptions!$C$36)^(B20-1)</f>
        <v>140622.848283805</v>
      </c>
      <c r="E20" s="27" t="n">
        <f aca="false">C20+D20</f>
        <v>905980.060816466</v>
      </c>
      <c r="F20" s="26" t="n">
        <f aca="false">E20*Assumptions!$C$34</f>
        <v>815382.054734819</v>
      </c>
      <c r="G20" s="26" t="n">
        <f aca="false">Assumptions!$C$19*Assumptions!$C$22*Assumptions!$C$15*Assumptions!$C$23</f>
        <v>701280</v>
      </c>
      <c r="H20" s="27" t="n">
        <f aca="false">MIN(F20,G20)</f>
        <v>701280</v>
      </c>
      <c r="I20" s="28" t="n">
        <f aca="false">H20/(Assumptions!$C$15*Assumptions!$C$23)</f>
        <v>0.4</v>
      </c>
      <c r="J20" s="27" t="n">
        <f aca="false">F20-H20</f>
        <v>114102.054734819</v>
      </c>
      <c r="K20" s="26" t="n">
        <f aca="false">J20*Assumptions!$C$37</f>
        <v>68461.2328408914</v>
      </c>
      <c r="L20" s="5" t="str">
        <f aca="false">IF(I20&gt;=Assumptions!$C$19*(1-Assumptions!$C$20),"PASS","FAIL")</f>
        <v>PASS</v>
      </c>
      <c r="M20" s="5" t="str">
        <f aca="false">IF(I20&lt;=Assumptions!$C$19*Assumptions!$C$21+0.0000001,"PASS","FAIL")</f>
        <v>PASS</v>
      </c>
      <c r="N20" s="27" t="n">
        <f aca="false">J20-K20</f>
        <v>45640.8218939276</v>
      </c>
    </row>
    <row r="21" customFormat="false" ht="15" hidden="false" customHeight="false" outlineLevel="0" collapsed="false">
      <c r="B21" s="5" t="n">
        <v>18</v>
      </c>
      <c r="C21" s="26" t="n">
        <f aca="false">Assumptions!$C$11*Assumptions!$C$23*Assumptions!$C$31*Assumptions!$C$33*(1-Assumptions!$C$35)^(B21-1)</f>
        <v>761530.426469997</v>
      </c>
      <c r="D21" s="26" t="n">
        <f aca="false">Assumptions!$C$12*Assumptions!$C$23*Assumptions!$C$32*Assumptions!$C$33*(1-Assumptions!$C$36)^(B21-1)</f>
        <v>140341.602587238</v>
      </c>
      <c r="E21" s="27" t="n">
        <f aca="false">C21+D21</f>
        <v>901872.029057235</v>
      </c>
      <c r="F21" s="26" t="n">
        <f aca="false">E21*Assumptions!$C$34</f>
        <v>811684.826151511</v>
      </c>
      <c r="G21" s="26" t="n">
        <f aca="false">Assumptions!$C$19*Assumptions!$C$22*Assumptions!$C$15*Assumptions!$C$23</f>
        <v>701280</v>
      </c>
      <c r="H21" s="27" t="n">
        <f aca="false">MIN(F21,G21)</f>
        <v>701280</v>
      </c>
      <c r="I21" s="28" t="n">
        <f aca="false">H21/(Assumptions!$C$15*Assumptions!$C$23)</f>
        <v>0.4</v>
      </c>
      <c r="J21" s="27" t="n">
        <f aca="false">F21-H21</f>
        <v>110404.826151511</v>
      </c>
      <c r="K21" s="26" t="n">
        <f aca="false">J21*Assumptions!$C$37</f>
        <v>66242.8956909066</v>
      </c>
      <c r="L21" s="5" t="str">
        <f aca="false">IF(I21&gt;=Assumptions!$C$19*(1-Assumptions!$C$20),"PASS","FAIL")</f>
        <v>PASS</v>
      </c>
      <c r="M21" s="5" t="str">
        <f aca="false">IF(I21&lt;=Assumptions!$C$19*Assumptions!$C$21+0.0000001,"PASS","FAIL")</f>
        <v>PASS</v>
      </c>
      <c r="N21" s="27" t="n">
        <f aca="false">J21-K21</f>
        <v>44161.9304606044</v>
      </c>
    </row>
    <row r="22" customFormat="false" ht="15" hidden="false" customHeight="false" outlineLevel="0" collapsed="false">
      <c r="B22" s="5" t="n">
        <v>19</v>
      </c>
      <c r="C22" s="26" t="n">
        <f aca="false">Assumptions!$C$11*Assumptions!$C$23*Assumptions!$C$31*Assumptions!$C$33*(1-Assumptions!$C$35)^(B22-1)</f>
        <v>757722.774337647</v>
      </c>
      <c r="D22" s="26" t="n">
        <f aca="false">Assumptions!$C$12*Assumptions!$C$23*Assumptions!$C$32*Assumptions!$C$33*(1-Assumptions!$C$36)^(B22-1)</f>
        <v>140060.919382063</v>
      </c>
      <c r="E22" s="27" t="n">
        <f aca="false">C22+D22</f>
        <v>897783.69371971</v>
      </c>
      <c r="F22" s="26" t="n">
        <f aca="false">E22*Assumptions!$C$34</f>
        <v>808005.324347739</v>
      </c>
      <c r="G22" s="26" t="n">
        <f aca="false">Assumptions!$C$19*Assumptions!$C$22*Assumptions!$C$15*Assumptions!$C$23</f>
        <v>701280</v>
      </c>
      <c r="H22" s="27" t="n">
        <f aca="false">MIN(F22,G22)</f>
        <v>701280</v>
      </c>
      <c r="I22" s="28" t="n">
        <f aca="false">H22/(Assumptions!$C$15*Assumptions!$C$23)</f>
        <v>0.4</v>
      </c>
      <c r="J22" s="27" t="n">
        <f aca="false">F22-H22</f>
        <v>106725.324347739</v>
      </c>
      <c r="K22" s="26" t="n">
        <f aca="false">J22*Assumptions!$C$37</f>
        <v>64035.1946086435</v>
      </c>
      <c r="L22" s="5" t="str">
        <f aca="false">IF(I22&gt;=Assumptions!$C$19*(1-Assumptions!$C$20),"PASS","FAIL")</f>
        <v>PASS</v>
      </c>
      <c r="M22" s="5" t="str">
        <f aca="false">IF(I22&lt;=Assumptions!$C$19*Assumptions!$C$21+0.0000001,"PASS","FAIL")</f>
        <v>PASS</v>
      </c>
      <c r="N22" s="27" t="n">
        <f aca="false">J22-K22</f>
        <v>42690.1297390956</v>
      </c>
    </row>
    <row r="23" customFormat="false" ht="15" hidden="false" customHeight="false" outlineLevel="0" collapsed="false">
      <c r="B23" s="5" t="n">
        <v>20</v>
      </c>
      <c r="C23" s="26" t="n">
        <f aca="false">Assumptions!$C$11*Assumptions!$C$23*Assumptions!$C$31*Assumptions!$C$33*(1-Assumptions!$C$35)^(B23-1)</f>
        <v>753934.160465959</v>
      </c>
      <c r="D23" s="26" t="n">
        <f aca="false">Assumptions!$C$12*Assumptions!$C$23*Assumptions!$C$32*Assumptions!$C$33*(1-Assumptions!$C$36)^(B23-1)</f>
        <v>139780.797543299</v>
      </c>
      <c r="E23" s="27" t="n">
        <f aca="false">C23+D23</f>
        <v>893714.958009258</v>
      </c>
      <c r="F23" s="26" t="n">
        <f aca="false">E23*Assumptions!$C$34</f>
        <v>804343.462208332</v>
      </c>
      <c r="G23" s="26" t="n">
        <f aca="false">Assumptions!$C$19*Assumptions!$C$22*Assumptions!$C$15*Assumptions!$C$23</f>
        <v>701280</v>
      </c>
      <c r="H23" s="27" t="n">
        <f aca="false">MIN(F23,G23)</f>
        <v>701280</v>
      </c>
      <c r="I23" s="28" t="n">
        <f aca="false">H23/(Assumptions!$C$15*Assumptions!$C$23)</f>
        <v>0.4</v>
      </c>
      <c r="J23" s="27" t="n">
        <f aca="false">F23-H23</f>
        <v>103063.462208332</v>
      </c>
      <c r="K23" s="26" t="n">
        <f aca="false">J23*Assumptions!$C$37</f>
        <v>61838.0773249992</v>
      </c>
      <c r="L23" s="5" t="str">
        <f aca="false">IF(I23&gt;=Assumptions!$C$19*(1-Assumptions!$C$20),"PASS","FAIL")</f>
        <v>PASS</v>
      </c>
      <c r="M23" s="5" t="str">
        <f aca="false">IF(I23&lt;=Assumptions!$C$19*Assumptions!$C$21+0.0000001,"PASS","FAIL")</f>
        <v>PASS</v>
      </c>
      <c r="N23" s="27" t="n">
        <f aca="false">J23-K23</f>
        <v>41225.3848833328</v>
      </c>
    </row>
    <row r="24" customFormat="false" ht="15" hidden="false" customHeight="false" outlineLevel="0" collapsed="false">
      <c r="B24" s="5" t="n">
        <v>21</v>
      </c>
      <c r="C24" s="26" t="n">
        <f aca="false">Assumptions!$C$11*Assumptions!$C$23*Assumptions!$C$31*Assumptions!$C$33*(1-Assumptions!$C$35)^(B24-1)</f>
        <v>750164.489663629</v>
      </c>
      <c r="D24" s="26" t="n">
        <f aca="false">Assumptions!$C$12*Assumptions!$C$23*Assumptions!$C$32*Assumptions!$C$33*(1-Assumptions!$C$36)^(B24-1)</f>
        <v>139501.235948212</v>
      </c>
      <c r="E24" s="27" t="n">
        <f aca="false">C24+D24</f>
        <v>889665.725611841</v>
      </c>
      <c r="F24" s="26" t="n">
        <f aca="false">E24*Assumptions!$C$34</f>
        <v>800699.153050657</v>
      </c>
      <c r="G24" s="26" t="n">
        <f aca="false">Assumptions!$C$19*Assumptions!$C$22*Assumptions!$C$15*Assumptions!$C$23</f>
        <v>701280</v>
      </c>
      <c r="H24" s="27" t="n">
        <f aca="false">MIN(F24,G24)</f>
        <v>701280</v>
      </c>
      <c r="I24" s="28" t="n">
        <f aca="false">H24/(Assumptions!$C$15*Assumptions!$C$23)</f>
        <v>0.4</v>
      </c>
      <c r="J24" s="27" t="n">
        <f aca="false">F24-H24</f>
        <v>99419.1530506573</v>
      </c>
      <c r="K24" s="26" t="n">
        <f aca="false">J24*Assumptions!$C$37</f>
        <v>59651.4918303943</v>
      </c>
      <c r="L24" s="5" t="str">
        <f aca="false">IF(I24&gt;=Assumptions!$C$19*(1-Assumptions!$C$20),"PASS","FAIL")</f>
        <v>PASS</v>
      </c>
      <c r="M24" s="5" t="str">
        <f aca="false">IF(I24&lt;=Assumptions!$C$19*Assumptions!$C$21+0.0000001,"PASS","FAIL")</f>
        <v>PASS</v>
      </c>
      <c r="N24" s="27" t="n">
        <f aca="false">J24-K24</f>
        <v>39767.6612202629</v>
      </c>
    </row>
    <row r="25" customFormat="false" ht="15" hidden="false" customHeight="false" outlineLevel="0" collapsed="false">
      <c r="B25" s="5" t="n">
        <v>22</v>
      </c>
      <c r="C25" s="26" t="n">
        <f aca="false">Assumptions!$C$11*Assumptions!$C$23*Assumptions!$C$31*Assumptions!$C$33*(1-Assumptions!$C$35)^(B25-1)</f>
        <v>746413.667215311</v>
      </c>
      <c r="D25" s="26" t="n">
        <f aca="false">Assumptions!$C$12*Assumptions!$C$23*Assumptions!$C$32*Assumptions!$C$33*(1-Assumptions!$C$36)^(B25-1)</f>
        <v>139222.233476316</v>
      </c>
      <c r="E25" s="27" t="n">
        <f aca="false">C25+D25</f>
        <v>885635.900691627</v>
      </c>
      <c r="F25" s="26" t="n">
        <f aca="false">E25*Assumptions!$C$34</f>
        <v>797072.310622464</v>
      </c>
      <c r="G25" s="26" t="n">
        <f aca="false">Assumptions!$C$19*Assumptions!$C$22*Assumptions!$C$15*Assumptions!$C$23</f>
        <v>701280</v>
      </c>
      <c r="H25" s="27" t="n">
        <f aca="false">MIN(F25,G25)</f>
        <v>701280</v>
      </c>
      <c r="I25" s="28" t="n">
        <f aca="false">H25/(Assumptions!$C$15*Assumptions!$C$23)</f>
        <v>0.4</v>
      </c>
      <c r="J25" s="27" t="n">
        <f aca="false">F25-H25</f>
        <v>95792.3106224642</v>
      </c>
      <c r="K25" s="26" t="n">
        <f aca="false">J25*Assumptions!$C$37</f>
        <v>57475.3863734785</v>
      </c>
      <c r="L25" s="5" t="str">
        <f aca="false">IF(I25&gt;=Assumptions!$C$19*(1-Assumptions!$C$20),"PASS","FAIL")</f>
        <v>PASS</v>
      </c>
      <c r="M25" s="5" t="str">
        <f aca="false">IF(I25&lt;=Assumptions!$C$19*Assumptions!$C$21+0.0000001,"PASS","FAIL")</f>
        <v>PASS</v>
      </c>
      <c r="N25" s="27" t="n">
        <f aca="false">J25-K25</f>
        <v>38316.9242489857</v>
      </c>
    </row>
    <row r="26" customFormat="false" ht="15" hidden="false" customHeight="false" outlineLevel="0" collapsed="false">
      <c r="B26" s="5" t="n">
        <v>23</v>
      </c>
      <c r="C26" s="26" t="n">
        <f aca="false">Assumptions!$C$11*Assumptions!$C$23*Assumptions!$C$31*Assumptions!$C$33*(1-Assumptions!$C$35)^(B26-1)</f>
        <v>742681.598879234</v>
      </c>
      <c r="D26" s="26" t="n">
        <f aca="false">Assumptions!$C$12*Assumptions!$C$23*Assumptions!$C$32*Assumptions!$C$33*(1-Assumptions!$C$36)^(B26-1)</f>
        <v>138943.789009363</v>
      </c>
      <c r="E26" s="27" t="n">
        <f aca="false">C26+D26</f>
        <v>881625.387888598</v>
      </c>
      <c r="F26" s="26" t="n">
        <f aca="false">E26*Assumptions!$C$34</f>
        <v>793462.849099738</v>
      </c>
      <c r="G26" s="26" t="n">
        <f aca="false">Assumptions!$C$19*Assumptions!$C$22*Assumptions!$C$15*Assumptions!$C$23</f>
        <v>701280</v>
      </c>
      <c r="H26" s="27" t="n">
        <f aca="false">MIN(F26,G26)</f>
        <v>701280</v>
      </c>
      <c r="I26" s="28" t="n">
        <f aca="false">H26/(Assumptions!$C$15*Assumptions!$C$23)</f>
        <v>0.4</v>
      </c>
      <c r="J26" s="27" t="n">
        <f aca="false">F26-H26</f>
        <v>92182.8490997379</v>
      </c>
      <c r="K26" s="26" t="n">
        <f aca="false">J26*Assumptions!$C$37</f>
        <v>55309.7094598428</v>
      </c>
      <c r="L26" s="5" t="str">
        <f aca="false">IF(I26&gt;=Assumptions!$C$19*(1-Assumptions!$C$20),"PASS","FAIL")</f>
        <v>PASS</v>
      </c>
      <c r="M26" s="5" t="str">
        <f aca="false">IF(I26&lt;=Assumptions!$C$19*Assumptions!$C$21+0.0000001,"PASS","FAIL")</f>
        <v>PASS</v>
      </c>
      <c r="N26" s="27" t="n">
        <f aca="false">J26-K26</f>
        <v>36873.1396398952</v>
      </c>
    </row>
    <row r="27" customFormat="false" ht="15" hidden="false" customHeight="false" outlineLevel="0" collapsed="false">
      <c r="B27" s="5" t="n">
        <v>24</v>
      </c>
      <c r="C27" s="26" t="n">
        <f aca="false">Assumptions!$C$11*Assumptions!$C$23*Assumptions!$C$31*Assumptions!$C$33*(1-Assumptions!$C$35)^(B27-1)</f>
        <v>738968.190884838</v>
      </c>
      <c r="D27" s="26" t="n">
        <f aca="false">Assumptions!$C$12*Assumptions!$C$23*Assumptions!$C$32*Assumptions!$C$33*(1-Assumptions!$C$36)^(B27-1)</f>
        <v>138665.901431345</v>
      </c>
      <c r="E27" s="27" t="n">
        <f aca="false">C27+D27</f>
        <v>877634.092316183</v>
      </c>
      <c r="F27" s="26" t="n">
        <f aca="false">E27*Assumptions!$C$34</f>
        <v>789870.683084564</v>
      </c>
      <c r="G27" s="26" t="n">
        <f aca="false">Assumptions!$C$19*Assumptions!$C$22*Assumptions!$C$15*Assumptions!$C$23</f>
        <v>701280</v>
      </c>
      <c r="H27" s="27" t="n">
        <f aca="false">MIN(F27,G27)</f>
        <v>701280</v>
      </c>
      <c r="I27" s="28" t="n">
        <f aca="false">H27/(Assumptions!$C$15*Assumptions!$C$23)</f>
        <v>0.4</v>
      </c>
      <c r="J27" s="27" t="n">
        <f aca="false">F27-H27</f>
        <v>88590.6830845644</v>
      </c>
      <c r="K27" s="26" t="n">
        <f aca="false">J27*Assumptions!$C$37</f>
        <v>53154.4098507386</v>
      </c>
      <c r="L27" s="5" t="str">
        <f aca="false">IF(I27&gt;=Assumptions!$C$19*(1-Assumptions!$C$20),"PASS","FAIL")</f>
        <v>PASS</v>
      </c>
      <c r="M27" s="5" t="str">
        <f aca="false">IF(I27&lt;=Assumptions!$C$19*Assumptions!$C$21+0.0000001,"PASS","FAIL")</f>
        <v>PASS</v>
      </c>
      <c r="N27" s="27" t="n">
        <f aca="false">J27-K27</f>
        <v>35436.2732338258</v>
      </c>
    </row>
    <row r="28" customFormat="false" ht="15" hidden="false" customHeight="false" outlineLevel="0" collapsed="false">
      <c r="B28" s="5" t="n">
        <v>25</v>
      </c>
      <c r="C28" s="26" t="n">
        <f aca="false">Assumptions!$C$11*Assumptions!$C$23*Assumptions!$C$31*Assumptions!$C$33*(1-Assumptions!$C$35)^(B28-1)</f>
        <v>735273.349930414</v>
      </c>
      <c r="D28" s="26" t="n">
        <f aca="false">Assumptions!$C$12*Assumptions!$C$23*Assumptions!$C$32*Assumptions!$C$33*(1-Assumptions!$C$36)^(B28-1)</f>
        <v>138388.569628482</v>
      </c>
      <c r="E28" s="27" t="n">
        <f aca="false">C28+D28</f>
        <v>873661.919558896</v>
      </c>
      <c r="F28" s="26" t="n">
        <f aca="false">E28*Assumptions!$C$34</f>
        <v>786295.727603006</v>
      </c>
      <c r="G28" s="26" t="n">
        <f aca="false">Assumptions!$C$19*Assumptions!$C$22*Assumptions!$C$15*Assumptions!$C$23</f>
        <v>701280</v>
      </c>
      <c r="H28" s="27" t="n">
        <f aca="false">MIN(F28,G28)</f>
        <v>701280</v>
      </c>
      <c r="I28" s="28" t="n">
        <f aca="false">H28/(Assumptions!$C$15*Assumptions!$C$23)</f>
        <v>0.4</v>
      </c>
      <c r="J28" s="27" t="n">
        <f aca="false">F28-H28</f>
        <v>85015.7276030063</v>
      </c>
      <c r="K28" s="26" t="n">
        <f aca="false">J28*Assumptions!$C$37</f>
        <v>51009.4365618038</v>
      </c>
      <c r="L28" s="5" t="str">
        <f aca="false">IF(I28&gt;=Assumptions!$C$19*(1-Assumptions!$C$20),"PASS","FAIL")</f>
        <v>PASS</v>
      </c>
      <c r="M28" s="5" t="str">
        <f aca="false">IF(I28&lt;=Assumptions!$C$19*Assumptions!$C$21+0.0000001,"PASS","FAIL")</f>
        <v>PASS</v>
      </c>
      <c r="N28" s="27" t="n">
        <f aca="false">J28-K28</f>
        <v>34006.2910412025</v>
      </c>
    </row>
    <row r="29" customFormat="false" ht="15" hidden="false" customHeight="false" outlineLevel="0" collapsed="false">
      <c r="B29" s="2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12"/>
  </cols>
  <sheetData>
    <row r="1" customFormat="false" ht="16.15" hidden="false" customHeight="false" outlineLevel="0" collapsed="false">
      <c r="B1" s="1" t="s">
        <v>193</v>
      </c>
    </row>
    <row r="3" customFormat="false" ht="15" hidden="false" customHeight="false" outlineLevel="0" collapsed="false">
      <c r="B3" s="15" t="s">
        <v>145</v>
      </c>
      <c r="C3" s="15" t="s">
        <v>194</v>
      </c>
      <c r="D3" s="15" t="s">
        <v>195</v>
      </c>
      <c r="E3" s="15" t="s">
        <v>196</v>
      </c>
      <c r="F3" s="15" t="s">
        <v>197</v>
      </c>
      <c r="G3" s="15" t="s">
        <v>198</v>
      </c>
      <c r="H3" s="15" t="s">
        <v>199</v>
      </c>
      <c r="I3" s="15" t="s">
        <v>200</v>
      </c>
      <c r="J3" s="15" t="s">
        <v>201</v>
      </c>
      <c r="K3" s="15" t="s">
        <v>202</v>
      </c>
      <c r="L3" s="15" t="s">
        <v>203</v>
      </c>
      <c r="M3" s="15" t="s">
        <v>204</v>
      </c>
    </row>
    <row r="4" customFormat="false" ht="15" hidden="false" customHeight="false" outlineLevel="0" collapsed="false">
      <c r="B4" s="5" t="s">
        <v>205</v>
      </c>
      <c r="C4" s="29" t="n">
        <v>31</v>
      </c>
      <c r="D4" s="30" t="n">
        <f aca="false">C4*Assumptions!$C$25</f>
        <v>124</v>
      </c>
      <c r="E4" s="26" t="n">
        <f aca="false">D4*Assumptions!$C$15</f>
        <v>24800</v>
      </c>
      <c r="F4" s="9" t="n">
        <v>0.9</v>
      </c>
      <c r="G4" s="27" t="n">
        <f aca="false">E4*F4</f>
        <v>22320</v>
      </c>
      <c r="H4" s="26" t="n">
        <f aca="false">E4*Assumptions!$C$24</f>
        <v>22320</v>
      </c>
      <c r="I4" s="27" t="n">
        <f aca="false">MAX(0,H4-G4)</f>
        <v>0</v>
      </c>
      <c r="J4" s="25" t="n">
        <f aca="false">I4*Assumptions!$C$26*Assumptions!$C$16/10000</f>
        <v>0</v>
      </c>
      <c r="K4" s="5" t="str">
        <f aca="false">IF(F4&gt;=Assumptions!$C$24,"PASS","FAIL")</f>
        <v>PASS</v>
      </c>
      <c r="L4" s="26" t="n">
        <f aca="false">'Dispatch 25Y'!H4*C4/365</f>
        <v>59560.7671232877</v>
      </c>
      <c r="M4" s="31" t="n">
        <f aca="false">L4/(Assumptions!$C$15*C4*24)</f>
        <v>0.40027397260274</v>
      </c>
    </row>
    <row r="5" customFormat="false" ht="15" hidden="false" customHeight="false" outlineLevel="0" collapsed="false">
      <c r="B5" s="5" t="s">
        <v>206</v>
      </c>
      <c r="C5" s="29" t="n">
        <v>28</v>
      </c>
      <c r="D5" s="30" t="n">
        <f aca="false">C5*Assumptions!$C$25</f>
        <v>112</v>
      </c>
      <c r="E5" s="26" t="n">
        <f aca="false">D5*Assumptions!$C$15</f>
        <v>22400</v>
      </c>
      <c r="F5" s="9" t="n">
        <v>0.9</v>
      </c>
      <c r="G5" s="27" t="n">
        <f aca="false">E5*F5</f>
        <v>20160</v>
      </c>
      <c r="H5" s="26" t="n">
        <f aca="false">E5*Assumptions!$C$24</f>
        <v>20160</v>
      </c>
      <c r="I5" s="27" t="n">
        <f aca="false">MAX(0,H5-G5)</f>
        <v>0</v>
      </c>
      <c r="J5" s="25" t="n">
        <f aca="false">I5*Assumptions!$C$26*Assumptions!$C$16/10000</f>
        <v>0</v>
      </c>
      <c r="K5" s="5" t="str">
        <f aca="false">IF(F5&gt;=Assumptions!$C$24,"PASS","FAIL")</f>
        <v>PASS</v>
      </c>
      <c r="L5" s="26" t="n">
        <f aca="false">'Dispatch 25Y'!H4*C5/365</f>
        <v>53796.8219178082</v>
      </c>
      <c r="M5" s="31" t="n">
        <f aca="false">L5/(Assumptions!$C$15*C5*24)</f>
        <v>0.40027397260274</v>
      </c>
    </row>
    <row r="6" customFormat="false" ht="15" hidden="false" customHeight="false" outlineLevel="0" collapsed="false">
      <c r="B6" s="5" t="s">
        <v>207</v>
      </c>
      <c r="C6" s="29" t="n">
        <v>31</v>
      </c>
      <c r="D6" s="30" t="n">
        <f aca="false">C6*Assumptions!$C$25</f>
        <v>124</v>
      </c>
      <c r="E6" s="26" t="n">
        <f aca="false">D6*Assumptions!$C$15</f>
        <v>24800</v>
      </c>
      <c r="F6" s="9" t="n">
        <v>0.9</v>
      </c>
      <c r="G6" s="27" t="n">
        <f aca="false">E6*F6</f>
        <v>22320</v>
      </c>
      <c r="H6" s="26" t="n">
        <f aca="false">E6*Assumptions!$C$24</f>
        <v>22320</v>
      </c>
      <c r="I6" s="27" t="n">
        <f aca="false">MAX(0,H6-G6)</f>
        <v>0</v>
      </c>
      <c r="J6" s="25" t="n">
        <f aca="false">I6*Assumptions!$C$26*Assumptions!$C$16/10000</f>
        <v>0</v>
      </c>
      <c r="K6" s="5" t="str">
        <f aca="false">IF(F6&gt;=Assumptions!$C$24,"PASS","FAIL")</f>
        <v>PASS</v>
      </c>
      <c r="L6" s="26" t="n">
        <f aca="false">'Dispatch 25Y'!H4*C6/365</f>
        <v>59560.7671232877</v>
      </c>
      <c r="M6" s="31" t="n">
        <f aca="false">L6/(Assumptions!$C$15*C6*24)</f>
        <v>0.40027397260274</v>
      </c>
    </row>
    <row r="7" customFormat="false" ht="15" hidden="false" customHeight="false" outlineLevel="0" collapsed="false">
      <c r="B7" s="5" t="s">
        <v>208</v>
      </c>
      <c r="C7" s="29" t="n">
        <v>30</v>
      </c>
      <c r="D7" s="30" t="n">
        <f aca="false">C7*Assumptions!$C$25</f>
        <v>120</v>
      </c>
      <c r="E7" s="26" t="n">
        <f aca="false">D7*Assumptions!$C$15</f>
        <v>24000</v>
      </c>
      <c r="F7" s="9" t="n">
        <v>0.9</v>
      </c>
      <c r="G7" s="27" t="n">
        <f aca="false">E7*F7</f>
        <v>21600</v>
      </c>
      <c r="H7" s="26" t="n">
        <f aca="false">E7*Assumptions!$C$24</f>
        <v>21600</v>
      </c>
      <c r="I7" s="27" t="n">
        <f aca="false">MAX(0,H7-G7)</f>
        <v>0</v>
      </c>
      <c r="J7" s="25" t="n">
        <f aca="false">I7*Assumptions!$C$26*Assumptions!$C$16/10000</f>
        <v>0</v>
      </c>
      <c r="K7" s="5" t="str">
        <f aca="false">IF(F7&gt;=Assumptions!$C$24,"PASS","FAIL")</f>
        <v>PASS</v>
      </c>
      <c r="L7" s="26" t="n">
        <f aca="false">'Dispatch 25Y'!H4*C7/365</f>
        <v>57639.4520547945</v>
      </c>
      <c r="M7" s="31" t="n">
        <f aca="false">L7/(Assumptions!$C$15*C7*24)</f>
        <v>0.40027397260274</v>
      </c>
    </row>
    <row r="8" customFormat="false" ht="15" hidden="false" customHeight="false" outlineLevel="0" collapsed="false">
      <c r="B8" s="5" t="s">
        <v>209</v>
      </c>
      <c r="C8" s="29" t="n">
        <v>31</v>
      </c>
      <c r="D8" s="30" t="n">
        <f aca="false">C8*Assumptions!$C$25</f>
        <v>124</v>
      </c>
      <c r="E8" s="26" t="n">
        <f aca="false">D8*Assumptions!$C$15</f>
        <v>24800</v>
      </c>
      <c r="F8" s="9" t="n">
        <v>0.9</v>
      </c>
      <c r="G8" s="27" t="n">
        <f aca="false">E8*F8</f>
        <v>22320</v>
      </c>
      <c r="H8" s="26" t="n">
        <f aca="false">E8*Assumptions!$C$24</f>
        <v>22320</v>
      </c>
      <c r="I8" s="27" t="n">
        <f aca="false">MAX(0,H8-G8)</f>
        <v>0</v>
      </c>
      <c r="J8" s="25" t="n">
        <f aca="false">I8*Assumptions!$C$26*Assumptions!$C$16/10000</f>
        <v>0</v>
      </c>
      <c r="K8" s="5" t="str">
        <f aca="false">IF(F8&gt;=Assumptions!$C$24,"PASS","FAIL")</f>
        <v>PASS</v>
      </c>
      <c r="L8" s="26" t="n">
        <f aca="false">'Dispatch 25Y'!H4*C8/365</f>
        <v>59560.7671232877</v>
      </c>
      <c r="M8" s="31" t="n">
        <f aca="false">L8/(Assumptions!$C$15*C8*24)</f>
        <v>0.40027397260274</v>
      </c>
    </row>
    <row r="9" customFormat="false" ht="15" hidden="false" customHeight="false" outlineLevel="0" collapsed="false">
      <c r="B9" s="5" t="s">
        <v>210</v>
      </c>
      <c r="C9" s="29" t="n">
        <v>30</v>
      </c>
      <c r="D9" s="30" t="n">
        <f aca="false">C9*Assumptions!$C$25</f>
        <v>120</v>
      </c>
      <c r="E9" s="26" t="n">
        <f aca="false">D9*Assumptions!$C$15</f>
        <v>24000</v>
      </c>
      <c r="F9" s="9" t="n">
        <v>0.9</v>
      </c>
      <c r="G9" s="27" t="n">
        <f aca="false">E9*F9</f>
        <v>21600</v>
      </c>
      <c r="H9" s="26" t="n">
        <f aca="false">E9*Assumptions!$C$24</f>
        <v>21600</v>
      </c>
      <c r="I9" s="27" t="n">
        <f aca="false">MAX(0,H9-G9)</f>
        <v>0</v>
      </c>
      <c r="J9" s="25" t="n">
        <f aca="false">I9*Assumptions!$C$26*Assumptions!$C$16/10000</f>
        <v>0</v>
      </c>
      <c r="K9" s="5" t="str">
        <f aca="false">IF(F9&gt;=Assumptions!$C$24,"PASS","FAIL")</f>
        <v>PASS</v>
      </c>
      <c r="L9" s="26" t="n">
        <f aca="false">'Dispatch 25Y'!H4*C9/365</f>
        <v>57639.4520547945</v>
      </c>
      <c r="M9" s="31" t="n">
        <f aca="false">L9/(Assumptions!$C$15*C9*24)</f>
        <v>0.40027397260274</v>
      </c>
    </row>
    <row r="10" customFormat="false" ht="15" hidden="false" customHeight="false" outlineLevel="0" collapsed="false">
      <c r="B10" s="5" t="s">
        <v>211</v>
      </c>
      <c r="C10" s="29" t="n">
        <v>31</v>
      </c>
      <c r="D10" s="30" t="n">
        <f aca="false">C10*Assumptions!$C$25</f>
        <v>124</v>
      </c>
      <c r="E10" s="26" t="n">
        <f aca="false">D10*Assumptions!$C$15</f>
        <v>24800</v>
      </c>
      <c r="F10" s="9" t="n">
        <v>0.9</v>
      </c>
      <c r="G10" s="27" t="n">
        <f aca="false">E10*F10</f>
        <v>22320</v>
      </c>
      <c r="H10" s="26" t="n">
        <f aca="false">E10*Assumptions!$C$24</f>
        <v>22320</v>
      </c>
      <c r="I10" s="27" t="n">
        <f aca="false">MAX(0,H10-G10)</f>
        <v>0</v>
      </c>
      <c r="J10" s="25" t="n">
        <f aca="false">I10*Assumptions!$C$26*Assumptions!$C$16/10000</f>
        <v>0</v>
      </c>
      <c r="K10" s="5" t="str">
        <f aca="false">IF(F10&gt;=Assumptions!$C$24,"PASS","FAIL")</f>
        <v>PASS</v>
      </c>
      <c r="L10" s="26" t="n">
        <f aca="false">'Dispatch 25Y'!H4*C10/365</f>
        <v>59560.7671232877</v>
      </c>
      <c r="M10" s="31" t="n">
        <f aca="false">L10/(Assumptions!$C$15*C10*24)</f>
        <v>0.40027397260274</v>
      </c>
    </row>
    <row r="11" customFormat="false" ht="15" hidden="false" customHeight="false" outlineLevel="0" collapsed="false">
      <c r="B11" s="5" t="s">
        <v>212</v>
      </c>
      <c r="C11" s="29" t="n">
        <v>31</v>
      </c>
      <c r="D11" s="30" t="n">
        <f aca="false">C11*Assumptions!$C$25</f>
        <v>124</v>
      </c>
      <c r="E11" s="26" t="n">
        <f aca="false">D11*Assumptions!$C$15</f>
        <v>24800</v>
      </c>
      <c r="F11" s="9" t="n">
        <v>0.9</v>
      </c>
      <c r="G11" s="27" t="n">
        <f aca="false">E11*F11</f>
        <v>22320</v>
      </c>
      <c r="H11" s="26" t="n">
        <f aca="false">E11*Assumptions!$C$24</f>
        <v>22320</v>
      </c>
      <c r="I11" s="27" t="n">
        <f aca="false">MAX(0,H11-G11)</f>
        <v>0</v>
      </c>
      <c r="J11" s="25" t="n">
        <f aca="false">I11*Assumptions!$C$26*Assumptions!$C$16/10000</f>
        <v>0</v>
      </c>
      <c r="K11" s="5" t="str">
        <f aca="false">IF(F11&gt;=Assumptions!$C$24,"PASS","FAIL")</f>
        <v>PASS</v>
      </c>
      <c r="L11" s="26" t="n">
        <f aca="false">'Dispatch 25Y'!H4*C11/365</f>
        <v>59560.7671232877</v>
      </c>
      <c r="M11" s="31" t="n">
        <f aca="false">L11/(Assumptions!$C$15*C11*24)</f>
        <v>0.40027397260274</v>
      </c>
    </row>
    <row r="12" customFormat="false" ht="15" hidden="false" customHeight="false" outlineLevel="0" collapsed="false">
      <c r="B12" s="5" t="s">
        <v>213</v>
      </c>
      <c r="C12" s="29" t="n">
        <v>30</v>
      </c>
      <c r="D12" s="30" t="n">
        <f aca="false">C12*Assumptions!$C$25</f>
        <v>120</v>
      </c>
      <c r="E12" s="26" t="n">
        <f aca="false">D12*Assumptions!$C$15</f>
        <v>24000</v>
      </c>
      <c r="F12" s="9" t="n">
        <v>0.9</v>
      </c>
      <c r="G12" s="27" t="n">
        <f aca="false">E12*F12</f>
        <v>21600</v>
      </c>
      <c r="H12" s="26" t="n">
        <f aca="false">E12*Assumptions!$C$24</f>
        <v>21600</v>
      </c>
      <c r="I12" s="27" t="n">
        <f aca="false">MAX(0,H12-G12)</f>
        <v>0</v>
      </c>
      <c r="J12" s="25" t="n">
        <f aca="false">I12*Assumptions!$C$26*Assumptions!$C$16/10000</f>
        <v>0</v>
      </c>
      <c r="K12" s="5" t="str">
        <f aca="false">IF(F12&gt;=Assumptions!$C$24,"PASS","FAIL")</f>
        <v>PASS</v>
      </c>
      <c r="L12" s="26" t="n">
        <f aca="false">'Dispatch 25Y'!H4*C12/365</f>
        <v>57639.4520547945</v>
      </c>
      <c r="M12" s="31" t="n">
        <f aca="false">L12/(Assumptions!$C$15*C12*24)</f>
        <v>0.40027397260274</v>
      </c>
    </row>
    <row r="13" customFormat="false" ht="15" hidden="false" customHeight="false" outlineLevel="0" collapsed="false">
      <c r="B13" s="5" t="s">
        <v>214</v>
      </c>
      <c r="C13" s="29" t="n">
        <v>31</v>
      </c>
      <c r="D13" s="30" t="n">
        <f aca="false">C13*Assumptions!$C$25</f>
        <v>124</v>
      </c>
      <c r="E13" s="26" t="n">
        <f aca="false">D13*Assumptions!$C$15</f>
        <v>24800</v>
      </c>
      <c r="F13" s="9" t="n">
        <v>0.9</v>
      </c>
      <c r="G13" s="27" t="n">
        <f aca="false">E13*F13</f>
        <v>22320</v>
      </c>
      <c r="H13" s="26" t="n">
        <f aca="false">E13*Assumptions!$C$24</f>
        <v>22320</v>
      </c>
      <c r="I13" s="27" t="n">
        <f aca="false">MAX(0,H13-G13)</f>
        <v>0</v>
      </c>
      <c r="J13" s="25" t="n">
        <f aca="false">I13*Assumptions!$C$26*Assumptions!$C$16/10000</f>
        <v>0</v>
      </c>
      <c r="K13" s="5" t="str">
        <f aca="false">IF(F13&gt;=Assumptions!$C$24,"PASS","FAIL")</f>
        <v>PASS</v>
      </c>
      <c r="L13" s="26" t="n">
        <f aca="false">'Dispatch 25Y'!H4*C13/365</f>
        <v>59560.7671232877</v>
      </c>
      <c r="M13" s="31" t="n">
        <f aca="false">L13/(Assumptions!$C$15*C13*24)</f>
        <v>0.40027397260274</v>
      </c>
    </row>
    <row r="14" customFormat="false" ht="15" hidden="false" customHeight="false" outlineLevel="0" collapsed="false">
      <c r="B14" s="5" t="s">
        <v>215</v>
      </c>
      <c r="C14" s="29" t="n">
        <v>30</v>
      </c>
      <c r="D14" s="30" t="n">
        <f aca="false">C14*Assumptions!$C$25</f>
        <v>120</v>
      </c>
      <c r="E14" s="26" t="n">
        <f aca="false">D14*Assumptions!$C$15</f>
        <v>24000</v>
      </c>
      <c r="F14" s="9" t="n">
        <v>0.9</v>
      </c>
      <c r="G14" s="27" t="n">
        <f aca="false">E14*F14</f>
        <v>21600</v>
      </c>
      <c r="H14" s="26" t="n">
        <f aca="false">E14*Assumptions!$C$24</f>
        <v>21600</v>
      </c>
      <c r="I14" s="27" t="n">
        <f aca="false">MAX(0,H14-G14)</f>
        <v>0</v>
      </c>
      <c r="J14" s="25" t="n">
        <f aca="false">I14*Assumptions!$C$26*Assumptions!$C$16/10000</f>
        <v>0</v>
      </c>
      <c r="K14" s="5" t="str">
        <f aca="false">IF(F14&gt;=Assumptions!$C$24,"PASS","FAIL")</f>
        <v>PASS</v>
      </c>
      <c r="L14" s="26" t="n">
        <f aca="false">'Dispatch 25Y'!H4*C14/365</f>
        <v>57639.4520547945</v>
      </c>
      <c r="M14" s="31" t="n">
        <f aca="false">L14/(Assumptions!$C$15*C14*24)</f>
        <v>0.40027397260274</v>
      </c>
    </row>
    <row r="15" customFormat="false" ht="15" hidden="false" customHeight="false" outlineLevel="0" collapsed="false">
      <c r="B15" s="5" t="s">
        <v>216</v>
      </c>
      <c r="C15" s="29" t="n">
        <v>31</v>
      </c>
      <c r="D15" s="30" t="n">
        <f aca="false">C15*Assumptions!$C$25</f>
        <v>124</v>
      </c>
      <c r="E15" s="26" t="n">
        <f aca="false">D15*Assumptions!$C$15</f>
        <v>24800</v>
      </c>
      <c r="F15" s="9" t="n">
        <v>0.9</v>
      </c>
      <c r="G15" s="27" t="n">
        <f aca="false">E15*F15</f>
        <v>22320</v>
      </c>
      <c r="H15" s="26" t="n">
        <f aca="false">E15*Assumptions!$C$24</f>
        <v>22320</v>
      </c>
      <c r="I15" s="27" t="n">
        <f aca="false">MAX(0,H15-G15)</f>
        <v>0</v>
      </c>
      <c r="J15" s="25" t="n">
        <f aca="false">I15*Assumptions!$C$26*Assumptions!$C$16/10000</f>
        <v>0</v>
      </c>
      <c r="K15" s="5" t="str">
        <f aca="false">IF(F15&gt;=Assumptions!$C$24,"PASS","FAIL")</f>
        <v>PASS</v>
      </c>
      <c r="L15" s="26" t="n">
        <f aca="false">'Dispatch 25Y'!H4*C15/365</f>
        <v>59560.7671232877</v>
      </c>
      <c r="M15" s="31" t="n">
        <f aca="false">L15/(Assumptions!$C$15*C15*24)</f>
        <v>0.40027397260274</v>
      </c>
    </row>
    <row r="16" customFormat="false" ht="15" hidden="false" customHeight="false" outlineLevel="0" collapsed="false">
      <c r="B16" s="18" t="s">
        <v>217</v>
      </c>
      <c r="C16" s="18" t="n">
        <f aca="false">SUM(C4:C15)</f>
        <v>365</v>
      </c>
      <c r="E16" s="32" t="n">
        <f aca="false">SUM(E4:E15)</f>
        <v>292000</v>
      </c>
      <c r="F16" s="33" t="n">
        <f aca="false">MIN(F4:F15)</f>
        <v>0.9</v>
      </c>
      <c r="I16" s="32" t="n">
        <f aca="false">SUM(I4:I15)</f>
        <v>0</v>
      </c>
      <c r="J16" s="34" t="n">
        <f aca="false">SUM(J4:J15)</f>
        <v>0</v>
      </c>
      <c r="K16" s="18" t="str">
        <f aca="false">IF(COUNTIF(K4:K15,"FAIL")=0,"ALL PASS","FAIL")</f>
        <v>ALL PASS</v>
      </c>
      <c r="L16" s="32" t="n">
        <f aca="false">SUM(L4:L15)</f>
        <v>701280</v>
      </c>
    </row>
    <row r="18" customFormat="false" ht="15" hidden="false" customHeight="false" outlineLevel="0" collapsed="false">
      <c r="B18" s="2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C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27" min="3" style="0" width="11.5"/>
  </cols>
  <sheetData>
    <row r="1" customFormat="false" ht="16.15" hidden="false" customHeight="false" outlineLevel="0" collapsed="false">
      <c r="B1" s="1" t="s">
        <v>219</v>
      </c>
    </row>
    <row r="2" customFormat="false" ht="15" hidden="false" customHeight="false" outlineLevel="0" collapsed="false">
      <c r="B2" s="18" t="s">
        <v>179</v>
      </c>
      <c r="C2" s="15" t="n">
        <v>1</v>
      </c>
      <c r="D2" s="15" t="n">
        <v>2</v>
      </c>
      <c r="E2" s="15" t="n">
        <v>3</v>
      </c>
      <c r="F2" s="15" t="n">
        <v>4</v>
      </c>
      <c r="G2" s="15" t="n">
        <v>5</v>
      </c>
      <c r="H2" s="15" t="n">
        <v>6</v>
      </c>
      <c r="I2" s="15" t="n">
        <v>7</v>
      </c>
      <c r="J2" s="15" t="n">
        <v>8</v>
      </c>
      <c r="K2" s="15" t="n">
        <v>9</v>
      </c>
      <c r="L2" s="15" t="n">
        <v>10</v>
      </c>
      <c r="M2" s="15" t="n">
        <v>11</v>
      </c>
      <c r="N2" s="15" t="n">
        <v>12</v>
      </c>
      <c r="O2" s="15" t="n">
        <v>13</v>
      </c>
      <c r="P2" s="15" t="n">
        <v>14</v>
      </c>
      <c r="Q2" s="15" t="n">
        <v>15</v>
      </c>
      <c r="R2" s="15" t="n">
        <v>16</v>
      </c>
      <c r="S2" s="15" t="n">
        <v>17</v>
      </c>
      <c r="T2" s="15" t="n">
        <v>18</v>
      </c>
      <c r="U2" s="15" t="n">
        <v>19</v>
      </c>
      <c r="V2" s="15" t="n">
        <v>20</v>
      </c>
      <c r="W2" s="15" t="n">
        <v>21</v>
      </c>
      <c r="X2" s="15" t="n">
        <v>22</v>
      </c>
      <c r="Y2" s="15" t="n">
        <v>23</v>
      </c>
      <c r="Z2" s="15" t="n">
        <v>24</v>
      </c>
      <c r="AA2" s="15" t="n">
        <v>25</v>
      </c>
    </row>
    <row r="4" customFormat="false" ht="15" hidden="false" customHeight="false" outlineLevel="0" collapsed="false">
      <c r="B4" s="35" t="s">
        <v>220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customFormat="false" ht="15" hidden="false" customHeight="false" outlineLevel="0" collapsed="false">
      <c r="B5" s="5" t="s">
        <v>221</v>
      </c>
      <c r="C5" s="26" t="n">
        <f aca="false">'Dispatch 25Y'!H4</f>
        <v>701280</v>
      </c>
      <c r="D5" s="26" t="n">
        <f aca="false">'Dispatch 25Y'!H5</f>
        <v>701280</v>
      </c>
      <c r="E5" s="26" t="n">
        <f aca="false">'Dispatch 25Y'!H6</f>
        <v>701280</v>
      </c>
      <c r="F5" s="26" t="n">
        <f aca="false">'Dispatch 25Y'!H7</f>
        <v>701280</v>
      </c>
      <c r="G5" s="26" t="n">
        <f aca="false">'Dispatch 25Y'!H8</f>
        <v>701280</v>
      </c>
      <c r="H5" s="26" t="n">
        <f aca="false">'Dispatch 25Y'!H9</f>
        <v>701280</v>
      </c>
      <c r="I5" s="26" t="n">
        <f aca="false">'Dispatch 25Y'!H10</f>
        <v>701280</v>
      </c>
      <c r="J5" s="26" t="n">
        <f aca="false">'Dispatch 25Y'!H11</f>
        <v>701280</v>
      </c>
      <c r="K5" s="26" t="n">
        <f aca="false">'Dispatch 25Y'!H12</f>
        <v>701280</v>
      </c>
      <c r="L5" s="26" t="n">
        <f aca="false">'Dispatch 25Y'!H13</f>
        <v>701280</v>
      </c>
      <c r="M5" s="26" t="n">
        <f aca="false">'Dispatch 25Y'!H14</f>
        <v>701280</v>
      </c>
      <c r="N5" s="26" t="n">
        <f aca="false">'Dispatch 25Y'!H15</f>
        <v>701280</v>
      </c>
      <c r="O5" s="26" t="n">
        <f aca="false">'Dispatch 25Y'!H16</f>
        <v>701280</v>
      </c>
      <c r="P5" s="26" t="n">
        <f aca="false">'Dispatch 25Y'!H17</f>
        <v>701280</v>
      </c>
      <c r="Q5" s="26" t="n">
        <f aca="false">'Dispatch 25Y'!H18</f>
        <v>701280</v>
      </c>
      <c r="R5" s="26" t="n">
        <f aca="false">'Dispatch 25Y'!H19</f>
        <v>701280</v>
      </c>
      <c r="S5" s="26" t="n">
        <f aca="false">'Dispatch 25Y'!H20</f>
        <v>701280</v>
      </c>
      <c r="T5" s="26" t="n">
        <f aca="false">'Dispatch 25Y'!H21</f>
        <v>701280</v>
      </c>
      <c r="U5" s="26" t="n">
        <f aca="false">'Dispatch 25Y'!H22</f>
        <v>701280</v>
      </c>
      <c r="V5" s="26" t="n">
        <f aca="false">'Dispatch 25Y'!H23</f>
        <v>701280</v>
      </c>
      <c r="W5" s="26" t="n">
        <f aca="false">'Dispatch 25Y'!H24</f>
        <v>701280</v>
      </c>
      <c r="X5" s="26" t="n">
        <f aca="false">'Dispatch 25Y'!H25</f>
        <v>701280</v>
      </c>
      <c r="Y5" s="26" t="n">
        <f aca="false">'Dispatch 25Y'!H26</f>
        <v>701280</v>
      </c>
      <c r="Z5" s="26" t="n">
        <f aca="false">'Dispatch 25Y'!H27</f>
        <v>701280</v>
      </c>
      <c r="AA5" s="26" t="n">
        <f aca="false">'Dispatch 25Y'!H28</f>
        <v>701280</v>
      </c>
    </row>
    <row r="6" customFormat="false" ht="15" hidden="false" customHeight="false" outlineLevel="0" collapsed="false">
      <c r="B6" s="5" t="s">
        <v>222</v>
      </c>
      <c r="C6" s="26" t="n">
        <f aca="false">'Dispatch 25Y'!K4</f>
        <v>105444.810367743</v>
      </c>
      <c r="D6" s="26" t="n">
        <f aca="false">'Dispatch 25Y'!K5</f>
        <v>103048.970648062</v>
      </c>
      <c r="E6" s="26" t="n">
        <f aca="false">'Dispatch 25Y'!K6</f>
        <v>100664.639678314</v>
      </c>
      <c r="F6" s="26" t="n">
        <f aca="false">'Dispatch 25Y'!K7</f>
        <v>98291.7608556489</v>
      </c>
      <c r="G6" s="26" t="n">
        <f aca="false">'Dispatch 25Y'!K8</f>
        <v>95930.2778583453</v>
      </c>
      <c r="H6" s="26" t="n">
        <f aca="false">'Dispatch 25Y'!K9</f>
        <v>93580.1346444143</v>
      </c>
      <c r="I6" s="26" t="n">
        <f aca="false">'Dispatch 25Y'!K10</f>
        <v>91241.2754502021</v>
      </c>
      <c r="J6" s="26" t="n">
        <f aca="false">'Dispatch 25Y'!K11</f>
        <v>88913.6447890031</v>
      </c>
      <c r="K6" s="26" t="n">
        <f aca="false">'Dispatch 25Y'!K12</f>
        <v>86597.1874496779</v>
      </c>
      <c r="L6" s="26" t="n">
        <f aca="false">'Dispatch 25Y'!K13</f>
        <v>84291.8484952802</v>
      </c>
      <c r="M6" s="26" t="n">
        <f aca="false">'Dispatch 25Y'!K14</f>
        <v>81997.5732616886</v>
      </c>
      <c r="N6" s="26" t="n">
        <f aca="false">'Dispatch 25Y'!K15</f>
        <v>79714.3073562474</v>
      </c>
      <c r="O6" s="26" t="n">
        <f aca="false">'Dispatch 25Y'!K16</f>
        <v>77441.9966564115</v>
      </c>
      <c r="P6" s="26" t="n">
        <f aca="false">'Dispatch 25Y'!K17</f>
        <v>75180.587308401</v>
      </c>
      <c r="Q6" s="26" t="n">
        <f aca="false">'Dispatch 25Y'!K18</f>
        <v>72930.02572586</v>
      </c>
      <c r="R6" s="26" t="n">
        <f aca="false">'Dispatch 25Y'!K19</f>
        <v>70690.2585885236</v>
      </c>
      <c r="S6" s="26" t="n">
        <f aca="false">'Dispatch 25Y'!K20</f>
        <v>68461.2328408914</v>
      </c>
      <c r="T6" s="26" t="n">
        <f aca="false">'Dispatch 25Y'!K21</f>
        <v>66242.8956909066</v>
      </c>
      <c r="U6" s="26" t="n">
        <f aca="false">'Dispatch 25Y'!K22</f>
        <v>64035.1946086435</v>
      </c>
      <c r="V6" s="26" t="n">
        <f aca="false">'Dispatch 25Y'!K23</f>
        <v>61838.0773249992</v>
      </c>
      <c r="W6" s="26" t="n">
        <f aca="false">'Dispatch 25Y'!K24</f>
        <v>59651.4918303943</v>
      </c>
      <c r="X6" s="26" t="n">
        <f aca="false">'Dispatch 25Y'!K25</f>
        <v>57475.3863734785</v>
      </c>
      <c r="Y6" s="26" t="n">
        <f aca="false">'Dispatch 25Y'!K26</f>
        <v>55309.7094598428</v>
      </c>
      <c r="Z6" s="26" t="n">
        <f aca="false">'Dispatch 25Y'!K27</f>
        <v>53154.4098507386</v>
      </c>
      <c r="AA6" s="26" t="n">
        <f aca="false">'Dispatch 25Y'!K28</f>
        <v>51009.4365618038</v>
      </c>
    </row>
    <row r="8" customFormat="false" ht="15" hidden="false" customHeight="false" outlineLevel="0" collapsed="false">
      <c r="B8" s="35" t="s">
        <v>223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customFormat="false" ht="15" hidden="false" customHeight="false" outlineLevel="0" collapsed="false">
      <c r="B9" s="5" t="s">
        <v>224</v>
      </c>
      <c r="C9" s="36" t="n">
        <f aca="false">Assumptions!$C$16-Assumptions!$C$27</f>
        <v>5.8913</v>
      </c>
      <c r="D9" s="36" t="n">
        <f aca="false">Assumptions!$C$16-Assumptions!$C$27</f>
        <v>5.8913</v>
      </c>
      <c r="E9" s="36" t="n">
        <f aca="false">Assumptions!$C$16-Assumptions!$C$27</f>
        <v>5.8913</v>
      </c>
      <c r="F9" s="36" t="n">
        <f aca="false">Assumptions!$C$16-Assumptions!$C$27</f>
        <v>5.8913</v>
      </c>
      <c r="G9" s="36" t="n">
        <f aca="false">Assumptions!$C$16-Assumptions!$C$27</f>
        <v>5.8913</v>
      </c>
      <c r="H9" s="36" t="n">
        <f aca="false">Assumptions!$C$16-Assumptions!$C$27</f>
        <v>5.8913</v>
      </c>
      <c r="I9" s="36" t="n">
        <f aca="false">Assumptions!$C$16-Assumptions!$C$27</f>
        <v>5.8913</v>
      </c>
      <c r="J9" s="36" t="n">
        <f aca="false">Assumptions!$C$16-Assumptions!$C$27</f>
        <v>5.8913</v>
      </c>
      <c r="K9" s="36" t="n">
        <f aca="false">Assumptions!$C$16-Assumptions!$C$27</f>
        <v>5.8913</v>
      </c>
      <c r="L9" s="36" t="n">
        <f aca="false">Assumptions!$C$16-Assumptions!$C$27</f>
        <v>5.8913</v>
      </c>
      <c r="M9" s="36" t="n">
        <f aca="false">Assumptions!$C$16-Assumptions!$C$27</f>
        <v>5.8913</v>
      </c>
      <c r="N9" s="36" t="n">
        <f aca="false">Assumptions!$C$16-Assumptions!$C$27</f>
        <v>5.8913</v>
      </c>
      <c r="O9" s="36" t="n">
        <f aca="false">Assumptions!$C$16-Assumptions!$C$27</f>
        <v>5.8913</v>
      </c>
      <c r="P9" s="36" t="n">
        <f aca="false">Assumptions!$C$16-Assumptions!$C$27</f>
        <v>5.8913</v>
      </c>
      <c r="Q9" s="36" t="n">
        <f aca="false">Assumptions!$C$16-Assumptions!$C$27</f>
        <v>5.8913</v>
      </c>
      <c r="R9" s="36" t="n">
        <f aca="false">Assumptions!$C$16-Assumptions!$C$27</f>
        <v>5.8913</v>
      </c>
      <c r="S9" s="36" t="n">
        <f aca="false">Assumptions!$C$16-Assumptions!$C$27</f>
        <v>5.8913</v>
      </c>
      <c r="T9" s="36" t="n">
        <f aca="false">Assumptions!$C$16-Assumptions!$C$27</f>
        <v>5.8913</v>
      </c>
      <c r="U9" s="36" t="n">
        <f aca="false">Assumptions!$C$16-Assumptions!$C$27</f>
        <v>5.8913</v>
      </c>
      <c r="V9" s="36" t="n">
        <f aca="false">Assumptions!$C$16-Assumptions!$C$27</f>
        <v>5.8913</v>
      </c>
      <c r="W9" s="36" t="n">
        <f aca="false">Assumptions!$C$16-Assumptions!$C$27</f>
        <v>5.8913</v>
      </c>
      <c r="X9" s="36" t="n">
        <f aca="false">Assumptions!$C$16-Assumptions!$C$27</f>
        <v>5.8913</v>
      </c>
      <c r="Y9" s="36" t="n">
        <f aca="false">Assumptions!$C$16-Assumptions!$C$27</f>
        <v>5.8913</v>
      </c>
      <c r="Z9" s="36" t="n">
        <f aca="false">Assumptions!$C$16-Assumptions!$C$27</f>
        <v>5.8913</v>
      </c>
      <c r="AA9" s="36" t="n">
        <f aca="false">Assumptions!$C$16-Assumptions!$C$27</f>
        <v>5.8913</v>
      </c>
    </row>
    <row r="10" customFormat="false" ht="15" hidden="false" customHeight="false" outlineLevel="0" collapsed="false">
      <c r="B10" s="5" t="s">
        <v>225</v>
      </c>
      <c r="C10" s="19" t="n">
        <f aca="false">C5*C9/10000</f>
        <v>413.1450864</v>
      </c>
      <c r="D10" s="19" t="n">
        <f aca="false">D5*D9/10000</f>
        <v>413.1450864</v>
      </c>
      <c r="E10" s="19" t="n">
        <f aca="false">E5*E9/10000</f>
        <v>413.1450864</v>
      </c>
      <c r="F10" s="19" t="n">
        <f aca="false">F5*F9/10000</f>
        <v>413.1450864</v>
      </c>
      <c r="G10" s="19" t="n">
        <f aca="false">G5*G9/10000</f>
        <v>413.1450864</v>
      </c>
      <c r="H10" s="19" t="n">
        <f aca="false">H5*H9/10000</f>
        <v>413.1450864</v>
      </c>
      <c r="I10" s="19" t="n">
        <f aca="false">I5*I9/10000</f>
        <v>413.1450864</v>
      </c>
      <c r="J10" s="19" t="n">
        <f aca="false">J5*J9/10000</f>
        <v>413.1450864</v>
      </c>
      <c r="K10" s="19" t="n">
        <f aca="false">K5*K9/10000</f>
        <v>413.1450864</v>
      </c>
      <c r="L10" s="19" t="n">
        <f aca="false">L5*L9/10000</f>
        <v>413.1450864</v>
      </c>
      <c r="M10" s="19" t="n">
        <f aca="false">M5*M9/10000</f>
        <v>413.1450864</v>
      </c>
      <c r="N10" s="19" t="n">
        <f aca="false">N5*N9/10000</f>
        <v>413.1450864</v>
      </c>
      <c r="O10" s="19" t="n">
        <f aca="false">O5*O9/10000</f>
        <v>413.1450864</v>
      </c>
      <c r="P10" s="19" t="n">
        <f aca="false">P5*P9/10000</f>
        <v>413.1450864</v>
      </c>
      <c r="Q10" s="19" t="n">
        <f aca="false">Q5*Q9/10000</f>
        <v>413.1450864</v>
      </c>
      <c r="R10" s="19" t="n">
        <f aca="false">R5*R9/10000</f>
        <v>413.1450864</v>
      </c>
      <c r="S10" s="19" t="n">
        <f aca="false">S5*S9/10000</f>
        <v>413.1450864</v>
      </c>
      <c r="T10" s="19" t="n">
        <f aca="false">T5*T9/10000</f>
        <v>413.1450864</v>
      </c>
      <c r="U10" s="19" t="n">
        <f aca="false">U5*U9/10000</f>
        <v>413.1450864</v>
      </c>
      <c r="V10" s="19" t="n">
        <f aca="false">V5*V9/10000</f>
        <v>413.1450864</v>
      </c>
      <c r="W10" s="19" t="n">
        <f aca="false">W5*W9/10000</f>
        <v>413.1450864</v>
      </c>
      <c r="X10" s="19" t="n">
        <f aca="false">X5*X9/10000</f>
        <v>413.1450864</v>
      </c>
      <c r="Y10" s="19" t="n">
        <f aca="false">Y5*Y9/10000</f>
        <v>413.1450864</v>
      </c>
      <c r="Z10" s="19" t="n">
        <f aca="false">Z5*Z9/10000</f>
        <v>413.1450864</v>
      </c>
      <c r="AA10" s="19" t="n">
        <f aca="false">AA5*AA9/10000</f>
        <v>413.1450864</v>
      </c>
    </row>
    <row r="11" customFormat="false" ht="15" hidden="false" customHeight="false" outlineLevel="0" collapsed="false">
      <c r="B11" s="5" t="s">
        <v>226</v>
      </c>
      <c r="C11" s="36" t="n">
        <f aca="false">Assumptions!$C$93*(1+Assumptions!$C$94)^(C2-1)</f>
        <v>3.25</v>
      </c>
      <c r="D11" s="36" t="n">
        <f aca="false">Assumptions!$C$93*(1+Assumptions!$C$94)^(D2-1)</f>
        <v>3.315</v>
      </c>
      <c r="E11" s="36" t="n">
        <f aca="false">Assumptions!$C$93*(1+Assumptions!$C$94)^(E2-1)</f>
        <v>3.3813</v>
      </c>
      <c r="F11" s="36" t="n">
        <f aca="false">Assumptions!$C$93*(1+Assumptions!$C$94)^(F2-1)</f>
        <v>3.448926</v>
      </c>
      <c r="G11" s="36" t="n">
        <f aca="false">Assumptions!$C$93*(1+Assumptions!$C$94)^(G2-1)</f>
        <v>3.51790452</v>
      </c>
      <c r="H11" s="36" t="n">
        <f aca="false">Assumptions!$C$93*(1+Assumptions!$C$94)^(H2-1)</f>
        <v>3.5882626104</v>
      </c>
      <c r="I11" s="36" t="n">
        <f aca="false">Assumptions!$C$93*(1+Assumptions!$C$94)^(I2-1)</f>
        <v>3.660027862608</v>
      </c>
      <c r="J11" s="36" t="n">
        <f aca="false">Assumptions!$C$93*(1+Assumptions!$C$94)^(J2-1)</f>
        <v>3.73322841986016</v>
      </c>
      <c r="K11" s="36" t="n">
        <f aca="false">Assumptions!$C$93*(1+Assumptions!$C$94)^(K2-1)</f>
        <v>3.80789298825736</v>
      </c>
      <c r="L11" s="36" t="n">
        <f aca="false">Assumptions!$C$93*(1+Assumptions!$C$94)^(L2-1)</f>
        <v>3.88405084802251</v>
      </c>
      <c r="M11" s="36" t="n">
        <f aca="false">Assumptions!$C$93*(1+Assumptions!$C$94)^(M2-1)</f>
        <v>3.96173186498296</v>
      </c>
      <c r="N11" s="36" t="n">
        <f aca="false">Assumptions!$C$93*(1+Assumptions!$C$94)^(N2-1)</f>
        <v>4.04096650228262</v>
      </c>
      <c r="O11" s="36" t="n">
        <f aca="false">Assumptions!$C$93*(1+Assumptions!$C$94)^(O2-1)</f>
        <v>4.12178583232827</v>
      </c>
      <c r="P11" s="36" t="n">
        <f aca="false">Assumptions!$C$93*(1+Assumptions!$C$94)^(P2-1)</f>
        <v>4.20422154897484</v>
      </c>
      <c r="Q11" s="36" t="n">
        <f aca="false">Assumptions!$C$93*(1+Assumptions!$C$94)^(Q2-1)</f>
        <v>4.28830597995434</v>
      </c>
      <c r="R11" s="36" t="n">
        <f aca="false">Assumptions!$C$93*(1+Assumptions!$C$94)^(R2-1)</f>
        <v>4.37407209955342</v>
      </c>
      <c r="S11" s="36" t="n">
        <f aca="false">Assumptions!$C$93*(1+Assumptions!$C$94)^(S2-1)</f>
        <v>4.46155354154449</v>
      </c>
      <c r="T11" s="36" t="n">
        <f aca="false">Assumptions!$C$93*(1+Assumptions!$C$94)^(T2-1)</f>
        <v>4.55078461237538</v>
      </c>
      <c r="U11" s="36" t="n">
        <f aca="false">Assumptions!$C$93*(1+Assumptions!$C$94)^(U2-1)</f>
        <v>4.64180030462289</v>
      </c>
      <c r="V11" s="36" t="n">
        <f aca="false">Assumptions!$C$93*(1+Assumptions!$C$94)^(V2-1)</f>
        <v>4.73463631071535</v>
      </c>
      <c r="W11" s="36" t="n">
        <f aca="false">Assumptions!$C$93*(1+Assumptions!$C$94)^(W2-1)</f>
        <v>4.82932903692965</v>
      </c>
      <c r="X11" s="36" t="n">
        <f aca="false">Assumptions!$C$93*(1+Assumptions!$C$94)^(X2-1)</f>
        <v>4.92591561766825</v>
      </c>
      <c r="Y11" s="36" t="n">
        <f aca="false">Assumptions!$C$93*(1+Assumptions!$C$94)^(Y2-1)</f>
        <v>5.02443393002161</v>
      </c>
      <c r="Z11" s="36" t="n">
        <f aca="false">Assumptions!$C$93*(1+Assumptions!$C$94)^(Z2-1)</f>
        <v>5.12492260862204</v>
      </c>
      <c r="AA11" s="36" t="n">
        <f aca="false">Assumptions!$C$93*(1+Assumptions!$C$94)^(AA2-1)</f>
        <v>5.22742106079449</v>
      </c>
    </row>
    <row r="12" customFormat="false" ht="15" hidden="false" customHeight="false" outlineLevel="0" collapsed="false">
      <c r="B12" s="5" t="s">
        <v>227</v>
      </c>
      <c r="C12" s="19" t="n">
        <f aca="false">C6*C11/10000</f>
        <v>34.2695633695165</v>
      </c>
      <c r="D12" s="19" t="n">
        <f aca="false">D6*D11/10000</f>
        <v>34.1607337698324</v>
      </c>
      <c r="E12" s="19" t="n">
        <f aca="false">E6*E11/10000</f>
        <v>34.0377346144284</v>
      </c>
      <c r="F12" s="19" t="n">
        <f aca="false">F6*F11/10000</f>
        <v>33.900100960083</v>
      </c>
      <c r="G12" s="19" t="n">
        <f aca="false">G6*G11/10000</f>
        <v>33.7473558082729</v>
      </c>
      <c r="H12" s="19" t="n">
        <f aca="false">H6*H11/10000</f>
        <v>33.5790098220749</v>
      </c>
      <c r="I12" s="19" t="n">
        <f aca="false">I6*I11/10000</f>
        <v>33.3945610367631</v>
      </c>
      <c r="J12" s="19" t="n">
        <f aca="false">J6*J11/10000</f>
        <v>33.1934945639658</v>
      </c>
      <c r="K12" s="19" t="n">
        <f aca="false">K6*K11/10000</f>
        <v>32.9752822892437</v>
      </c>
      <c r="L12" s="19" t="n">
        <f aca="false">L6*L11/10000</f>
        <v>32.7393825629478</v>
      </c>
      <c r="M12" s="19" t="n">
        <f aca="false">M6*M11/10000</f>
        <v>32.4852398842107</v>
      </c>
      <c r="N12" s="19" t="n">
        <f aca="false">N6*N11/10000</f>
        <v>32.2122845779257</v>
      </c>
      <c r="O12" s="19" t="n">
        <f aca="false">O6*O11/10000</f>
        <v>31.919932464561</v>
      </c>
      <c r="P12" s="19" t="n">
        <f aca="false">P6*P11/10000</f>
        <v>31.6075845226564</v>
      </c>
      <c r="Q12" s="19" t="n">
        <f aca="false">Q6*Q11/10000</f>
        <v>31.2746265438429</v>
      </c>
      <c r="R12" s="19" t="n">
        <f aca="false">R6*R11/10000</f>
        <v>30.9204287802278</v>
      </c>
      <c r="S12" s="19" t="n">
        <f aca="false">S6*S11/10000</f>
        <v>30.5443455839781</v>
      </c>
      <c r="T12" s="19" t="n">
        <f aca="false">T6*T11/10000</f>
        <v>30.1457150389365</v>
      </c>
      <c r="U12" s="19" t="n">
        <f aca="false">U6*U11/10000</f>
        <v>29.7238585840987</v>
      </c>
      <c r="V12" s="19" t="n">
        <f aca="false">V6*V11/10000</f>
        <v>29.2780806287764</v>
      </c>
      <c r="W12" s="19" t="n">
        <f aca="false">W6*W11/10000</f>
        <v>28.8076681592695</v>
      </c>
      <c r="X12" s="19" t="n">
        <f aca="false">X6*X11/10000</f>
        <v>28.3118903368634</v>
      </c>
      <c r="Y12" s="19" t="n">
        <f aca="false">Y6*Y11/10000</f>
        <v>27.7899980869671</v>
      </c>
      <c r="Z12" s="19" t="n">
        <f aca="false">Z6*Z11/10000</f>
        <v>27.2412236792013</v>
      </c>
      <c r="AA12" s="19" t="n">
        <f aca="false">AA6*AA11/10000</f>
        <v>26.6647802982433</v>
      </c>
    </row>
    <row r="13" customFormat="false" ht="15" hidden="false" customHeight="false" outlineLevel="0" collapsed="false">
      <c r="B13" s="18" t="s">
        <v>228</v>
      </c>
      <c r="C13" s="21" t="n">
        <f aca="false">C10+C12</f>
        <v>447.414649769517</v>
      </c>
      <c r="D13" s="21" t="n">
        <f aca="false">D10+D12</f>
        <v>447.305820169832</v>
      </c>
      <c r="E13" s="21" t="n">
        <f aca="false">E10+E12</f>
        <v>447.182821014428</v>
      </c>
      <c r="F13" s="21" t="n">
        <f aca="false">F10+F12</f>
        <v>447.045187360083</v>
      </c>
      <c r="G13" s="21" t="n">
        <f aca="false">G10+G12</f>
        <v>446.892442208273</v>
      </c>
      <c r="H13" s="21" t="n">
        <f aca="false">H10+H12</f>
        <v>446.724096222075</v>
      </c>
      <c r="I13" s="21" t="n">
        <f aca="false">I10+I12</f>
        <v>446.539647436763</v>
      </c>
      <c r="J13" s="21" t="n">
        <f aca="false">J10+J12</f>
        <v>446.338580963966</v>
      </c>
      <c r="K13" s="21" t="n">
        <f aca="false">K10+K12</f>
        <v>446.120368689244</v>
      </c>
      <c r="L13" s="21" t="n">
        <f aca="false">L10+L12</f>
        <v>445.884468962948</v>
      </c>
      <c r="M13" s="21" t="n">
        <f aca="false">M10+M12</f>
        <v>445.630326284211</v>
      </c>
      <c r="N13" s="21" t="n">
        <f aca="false">N10+N12</f>
        <v>445.357370977926</v>
      </c>
      <c r="O13" s="21" t="n">
        <f aca="false">O10+O12</f>
        <v>445.065018864561</v>
      </c>
      <c r="P13" s="21" t="n">
        <f aca="false">P10+P12</f>
        <v>444.752670922656</v>
      </c>
      <c r="Q13" s="21" t="n">
        <f aca="false">Q10+Q12</f>
        <v>444.419712943843</v>
      </c>
      <c r="R13" s="21" t="n">
        <f aca="false">R10+R12</f>
        <v>444.065515180228</v>
      </c>
      <c r="S13" s="21" t="n">
        <f aca="false">S10+S12</f>
        <v>443.689431983978</v>
      </c>
      <c r="T13" s="21" t="n">
        <f aca="false">T10+T12</f>
        <v>443.290801438937</v>
      </c>
      <c r="U13" s="21" t="n">
        <f aca="false">U10+U12</f>
        <v>442.868944984099</v>
      </c>
      <c r="V13" s="21" t="n">
        <f aca="false">V10+V12</f>
        <v>442.423167028776</v>
      </c>
      <c r="W13" s="21" t="n">
        <f aca="false">W10+W12</f>
        <v>441.95275455927</v>
      </c>
      <c r="X13" s="21" t="n">
        <f aca="false">X10+X12</f>
        <v>441.456976736863</v>
      </c>
      <c r="Y13" s="21" t="n">
        <f aca="false">Y10+Y12</f>
        <v>440.935084486967</v>
      </c>
      <c r="Z13" s="21" t="n">
        <f aca="false">Z10+Z12</f>
        <v>440.386310079201</v>
      </c>
      <c r="AA13" s="21" t="n">
        <f aca="false">AA10+AA12</f>
        <v>439.809866698243</v>
      </c>
    </row>
    <row r="15" customFormat="false" ht="15" hidden="false" customHeight="false" outlineLevel="0" collapsed="false">
      <c r="B15" s="35" t="s">
        <v>229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customFormat="false" ht="15" hidden="false" customHeight="false" outlineLevel="0" collapsed="false">
      <c r="B16" s="5" t="s">
        <v>230</v>
      </c>
      <c r="C16" s="17" t="n">
        <f aca="false">((Assumptions!$C$11*Assumptions!$C$58+Assumptions!$C$12*Assumptions!$C$59+Assumptions!$C$14*Assumptions!$C$60)/100)*(1+Assumptions!$C$65)^(C2-1)</f>
        <v>26.863</v>
      </c>
      <c r="D16" s="17" t="n">
        <f aca="false">((Assumptions!$C$11*Assumptions!$C$58+Assumptions!$C$12*Assumptions!$C$59+Assumptions!$C$14*Assumptions!$C$60)/100)*(1+Assumptions!$C$65)^(D2-1)</f>
        <v>27.803205</v>
      </c>
      <c r="E16" s="17" t="n">
        <f aca="false">((Assumptions!$C$11*Assumptions!$C$58+Assumptions!$C$12*Assumptions!$C$59+Assumptions!$C$14*Assumptions!$C$60)/100)*(1+Assumptions!$C$65)^(E2-1)</f>
        <v>28.776317175</v>
      </c>
      <c r="F16" s="17" t="n">
        <f aca="false">((Assumptions!$C$11*Assumptions!$C$58+Assumptions!$C$12*Assumptions!$C$59+Assumptions!$C$14*Assumptions!$C$60)/100)*(1+Assumptions!$C$65)^(F2-1)</f>
        <v>29.783488276125</v>
      </c>
      <c r="G16" s="17" t="n">
        <f aca="false">((Assumptions!$C$11*Assumptions!$C$58+Assumptions!$C$12*Assumptions!$C$59+Assumptions!$C$14*Assumptions!$C$60)/100)*(1+Assumptions!$C$65)^(G2-1)</f>
        <v>30.8259103657894</v>
      </c>
      <c r="H16" s="17" t="n">
        <f aca="false">((Assumptions!$C$11*Assumptions!$C$58+Assumptions!$C$12*Assumptions!$C$59+Assumptions!$C$14*Assumptions!$C$60)/100)*(1+Assumptions!$C$65)^(H2-1)</f>
        <v>31.904817228592</v>
      </c>
      <c r="I16" s="17" t="n">
        <f aca="false">((Assumptions!$C$11*Assumptions!$C$58+Assumptions!$C$12*Assumptions!$C$59+Assumptions!$C$14*Assumptions!$C$60)/100)*(1+Assumptions!$C$65)^(I2-1)</f>
        <v>33.0214858315927</v>
      </c>
      <c r="J16" s="17" t="n">
        <f aca="false">((Assumptions!$C$11*Assumptions!$C$58+Assumptions!$C$12*Assumptions!$C$59+Assumptions!$C$14*Assumptions!$C$60)/100)*(1+Assumptions!$C$65)^(J2-1)</f>
        <v>34.1772378356985</v>
      </c>
      <c r="K16" s="17" t="n">
        <f aca="false">((Assumptions!$C$11*Assumptions!$C$58+Assumptions!$C$12*Assumptions!$C$59+Assumptions!$C$14*Assumptions!$C$60)/100)*(1+Assumptions!$C$65)^(K2-1)</f>
        <v>35.3734411599479</v>
      </c>
      <c r="L16" s="17" t="n">
        <f aca="false">((Assumptions!$C$11*Assumptions!$C$58+Assumptions!$C$12*Assumptions!$C$59+Assumptions!$C$14*Assumptions!$C$60)/100)*(1+Assumptions!$C$65)^(L2-1)</f>
        <v>36.6115116005461</v>
      </c>
      <c r="M16" s="17" t="n">
        <f aca="false">((Assumptions!$C$11*Assumptions!$C$58+Assumptions!$C$12*Assumptions!$C$59+Assumptions!$C$14*Assumptions!$C$60)/100)*(1+Assumptions!$C$65)^(M2-1)</f>
        <v>37.8929145065652</v>
      </c>
      <c r="N16" s="17" t="n">
        <f aca="false">((Assumptions!$C$11*Assumptions!$C$58+Assumptions!$C$12*Assumptions!$C$59+Assumptions!$C$14*Assumptions!$C$60)/100)*(1+Assumptions!$C$65)^(N2-1)</f>
        <v>39.219166514295</v>
      </c>
      <c r="O16" s="17" t="n">
        <f aca="false">((Assumptions!$C$11*Assumptions!$C$58+Assumptions!$C$12*Assumptions!$C$59+Assumptions!$C$14*Assumptions!$C$60)/100)*(1+Assumptions!$C$65)^(O2-1)</f>
        <v>40.5918373422953</v>
      </c>
      <c r="P16" s="17" t="n">
        <f aca="false">((Assumptions!$C$11*Assumptions!$C$58+Assumptions!$C$12*Assumptions!$C$59+Assumptions!$C$14*Assumptions!$C$60)/100)*(1+Assumptions!$C$65)^(P2-1)</f>
        <v>42.0125516492756</v>
      </c>
      <c r="Q16" s="17" t="n">
        <f aca="false">((Assumptions!$C$11*Assumptions!$C$58+Assumptions!$C$12*Assumptions!$C$59+Assumptions!$C$14*Assumptions!$C$60)/100)*(1+Assumptions!$C$65)^(Q2-1)</f>
        <v>43.4829909570003</v>
      </c>
      <c r="R16" s="17" t="n">
        <f aca="false">((Assumptions!$C$11*Assumptions!$C$58+Assumptions!$C$12*Assumptions!$C$59+Assumptions!$C$14*Assumptions!$C$60)/100)*(1+Assumptions!$C$65)^(R2-1)</f>
        <v>45.0048956404953</v>
      </c>
      <c r="S16" s="17" t="n">
        <f aca="false">((Assumptions!$C$11*Assumptions!$C$58+Assumptions!$C$12*Assumptions!$C$59+Assumptions!$C$14*Assumptions!$C$60)/100)*(1+Assumptions!$C$65)^(S2-1)</f>
        <v>46.5800669879126</v>
      </c>
      <c r="T16" s="17" t="n">
        <f aca="false">((Assumptions!$C$11*Assumptions!$C$58+Assumptions!$C$12*Assumptions!$C$59+Assumptions!$C$14*Assumptions!$C$60)/100)*(1+Assumptions!$C$65)^(T2-1)</f>
        <v>48.2103693324895</v>
      </c>
      <c r="U16" s="17" t="n">
        <f aca="false">((Assumptions!$C$11*Assumptions!$C$58+Assumptions!$C$12*Assumptions!$C$59+Assumptions!$C$14*Assumptions!$C$60)/100)*(1+Assumptions!$C$65)^(U2-1)</f>
        <v>49.8977322591267</v>
      </c>
      <c r="V16" s="17" t="n">
        <f aca="false">((Assumptions!$C$11*Assumptions!$C$58+Assumptions!$C$12*Assumptions!$C$59+Assumptions!$C$14*Assumptions!$C$60)/100)*(1+Assumptions!$C$65)^(V2-1)</f>
        <v>51.6441528881961</v>
      </c>
      <c r="W16" s="17" t="n">
        <f aca="false">((Assumptions!$C$11*Assumptions!$C$58+Assumptions!$C$12*Assumptions!$C$59+Assumptions!$C$14*Assumptions!$C$60)/100)*(1+Assumptions!$C$65)^(W2-1)</f>
        <v>53.451698239283</v>
      </c>
      <c r="X16" s="17" t="n">
        <f aca="false">((Assumptions!$C$11*Assumptions!$C$58+Assumptions!$C$12*Assumptions!$C$59+Assumptions!$C$14*Assumptions!$C$60)/100)*(1+Assumptions!$C$65)^(X2-1)</f>
        <v>55.3225076776578</v>
      </c>
      <c r="Y16" s="17" t="n">
        <f aca="false">((Assumptions!$C$11*Assumptions!$C$58+Assumptions!$C$12*Assumptions!$C$59+Assumptions!$C$14*Assumptions!$C$60)/100)*(1+Assumptions!$C$65)^(Y2-1)</f>
        <v>57.2587954463759</v>
      </c>
      <c r="Z16" s="17" t="n">
        <f aca="false">((Assumptions!$C$11*Assumptions!$C$58+Assumptions!$C$12*Assumptions!$C$59+Assumptions!$C$14*Assumptions!$C$60)/100)*(1+Assumptions!$C$65)^(Z2-1)</f>
        <v>59.262853286999</v>
      </c>
      <c r="AA16" s="17" t="n">
        <f aca="false">((Assumptions!$C$11*Assumptions!$C$58+Assumptions!$C$12*Assumptions!$C$59+Assumptions!$C$14*Assumptions!$C$60)/100)*(1+Assumptions!$C$65)^(AA2-1)</f>
        <v>61.337053152044</v>
      </c>
    </row>
    <row r="17" customFormat="false" ht="15" hidden="false" customHeight="false" outlineLevel="0" collapsed="false">
      <c r="B17" s="5" t="s">
        <v>231</v>
      </c>
      <c r="C17" s="17" t="n">
        <f aca="false">(Assumptions!$C$61+(Assumptions!$C$11+Assumptions!$C$12+Assumptions!$C$13)*Assumptions!$C$62/100)*(1+Assumptions!$C$65)^(C2-1)</f>
        <v>8.82275</v>
      </c>
      <c r="D17" s="17" t="n">
        <f aca="false">(Assumptions!$C$61+(Assumptions!$C$11+Assumptions!$C$12+Assumptions!$C$13)*Assumptions!$C$62/100)*(1+Assumptions!$C$65)^(D2-1)</f>
        <v>9.13154625</v>
      </c>
      <c r="E17" s="17" t="n">
        <f aca="false">(Assumptions!$C$61+(Assumptions!$C$11+Assumptions!$C$12+Assumptions!$C$13)*Assumptions!$C$62/100)*(1+Assumptions!$C$65)^(E2-1)</f>
        <v>9.45115036875</v>
      </c>
      <c r="F17" s="17" t="n">
        <f aca="false">(Assumptions!$C$61+(Assumptions!$C$11+Assumptions!$C$12+Assumptions!$C$13)*Assumptions!$C$62/100)*(1+Assumptions!$C$65)^(F2-1)</f>
        <v>9.78194063165625</v>
      </c>
      <c r="G17" s="17" t="n">
        <f aca="false">(Assumptions!$C$61+(Assumptions!$C$11+Assumptions!$C$12+Assumptions!$C$13)*Assumptions!$C$62/100)*(1+Assumptions!$C$65)^(G2-1)</f>
        <v>10.1243085537642</v>
      </c>
      <c r="H17" s="17" t="n">
        <f aca="false">(Assumptions!$C$61+(Assumptions!$C$11+Assumptions!$C$12+Assumptions!$C$13)*Assumptions!$C$62/100)*(1+Assumptions!$C$65)^(H2-1)</f>
        <v>10.478659353146</v>
      </c>
      <c r="I17" s="17" t="n">
        <f aca="false">(Assumptions!$C$61+(Assumptions!$C$11+Assumptions!$C$12+Assumptions!$C$13)*Assumptions!$C$62/100)*(1+Assumptions!$C$65)^(I2-1)</f>
        <v>10.8454124305061</v>
      </c>
      <c r="J17" s="17" t="n">
        <f aca="false">(Assumptions!$C$61+(Assumptions!$C$11+Assumptions!$C$12+Assumptions!$C$13)*Assumptions!$C$62/100)*(1+Assumptions!$C$65)^(J2-1)</f>
        <v>11.2250018655738</v>
      </c>
      <c r="K17" s="17" t="n">
        <f aca="false">(Assumptions!$C$61+(Assumptions!$C$11+Assumptions!$C$12+Assumptions!$C$13)*Assumptions!$C$62/100)*(1+Assumptions!$C$65)^(K2-1)</f>
        <v>11.6178769308689</v>
      </c>
      <c r="L17" s="17" t="n">
        <f aca="false">(Assumptions!$C$61+(Assumptions!$C$11+Assumptions!$C$12+Assumptions!$C$13)*Assumptions!$C$62/100)*(1+Assumptions!$C$65)^(L2-1)</f>
        <v>12.0245026234493</v>
      </c>
      <c r="M17" s="17" t="n">
        <f aca="false">(Assumptions!$C$61+(Assumptions!$C$11+Assumptions!$C$12+Assumptions!$C$13)*Assumptions!$C$62/100)*(1+Assumptions!$C$65)^(M2-1)</f>
        <v>12.44536021527</v>
      </c>
      <c r="N17" s="17" t="n">
        <f aca="false">(Assumptions!$C$61+(Assumptions!$C$11+Assumptions!$C$12+Assumptions!$C$13)*Assumptions!$C$62/100)*(1+Assumptions!$C$65)^(N2-1)</f>
        <v>12.8809478228044</v>
      </c>
      <c r="O17" s="17" t="n">
        <f aca="false">(Assumptions!$C$61+(Assumptions!$C$11+Assumptions!$C$12+Assumptions!$C$13)*Assumptions!$C$62/100)*(1+Assumptions!$C$65)^(O2-1)</f>
        <v>13.3317809966026</v>
      </c>
      <c r="P17" s="17" t="n">
        <f aca="false">(Assumptions!$C$61+(Assumptions!$C$11+Assumptions!$C$12+Assumptions!$C$13)*Assumptions!$C$62/100)*(1+Assumptions!$C$65)^(P2-1)</f>
        <v>13.7983933314837</v>
      </c>
      <c r="Q17" s="17" t="n">
        <f aca="false">(Assumptions!$C$61+(Assumptions!$C$11+Assumptions!$C$12+Assumptions!$C$13)*Assumptions!$C$62/100)*(1+Assumptions!$C$65)^(Q2-1)</f>
        <v>14.2813370980856</v>
      </c>
      <c r="R17" s="17" t="n">
        <f aca="false">(Assumptions!$C$61+(Assumptions!$C$11+Assumptions!$C$12+Assumptions!$C$13)*Assumptions!$C$62/100)*(1+Assumptions!$C$65)^(R2-1)</f>
        <v>14.7811838965186</v>
      </c>
      <c r="S17" s="17" t="n">
        <f aca="false">(Assumptions!$C$61+(Assumptions!$C$11+Assumptions!$C$12+Assumptions!$C$13)*Assumptions!$C$62/100)*(1+Assumptions!$C$65)^(S2-1)</f>
        <v>15.2985253328968</v>
      </c>
      <c r="T17" s="17" t="n">
        <f aca="false">(Assumptions!$C$61+(Assumptions!$C$11+Assumptions!$C$12+Assumptions!$C$13)*Assumptions!$C$62/100)*(1+Assumptions!$C$65)^(T2-1)</f>
        <v>15.8339737195481</v>
      </c>
      <c r="U17" s="17" t="n">
        <f aca="false">(Assumptions!$C$61+(Assumptions!$C$11+Assumptions!$C$12+Assumptions!$C$13)*Assumptions!$C$62/100)*(1+Assumptions!$C$65)^(U2-1)</f>
        <v>16.3881627997323</v>
      </c>
      <c r="V17" s="17" t="n">
        <f aca="false">(Assumptions!$C$61+(Assumptions!$C$11+Assumptions!$C$12+Assumptions!$C$13)*Assumptions!$C$62/100)*(1+Assumptions!$C$65)^(V2-1)</f>
        <v>16.961748497723</v>
      </c>
      <c r="W17" s="17" t="n">
        <f aca="false">(Assumptions!$C$61+(Assumptions!$C$11+Assumptions!$C$12+Assumptions!$C$13)*Assumptions!$C$62/100)*(1+Assumptions!$C$65)^(W2-1)</f>
        <v>17.5554096951433</v>
      </c>
      <c r="X17" s="17" t="n">
        <f aca="false">(Assumptions!$C$61+(Assumptions!$C$11+Assumptions!$C$12+Assumptions!$C$13)*Assumptions!$C$62/100)*(1+Assumptions!$C$65)^(X2-1)</f>
        <v>18.1698490344733</v>
      </c>
      <c r="Y17" s="17" t="n">
        <f aca="false">(Assumptions!$C$61+(Assumptions!$C$11+Assumptions!$C$12+Assumptions!$C$13)*Assumptions!$C$62/100)*(1+Assumptions!$C$65)^(Y2-1)</f>
        <v>18.8057937506798</v>
      </c>
      <c r="Z17" s="17" t="n">
        <f aca="false">(Assumptions!$C$61+(Assumptions!$C$11+Assumptions!$C$12+Assumptions!$C$13)*Assumptions!$C$62/100)*(1+Assumptions!$C$65)^(Z2-1)</f>
        <v>19.4639965319536</v>
      </c>
      <c r="AA17" s="17" t="n">
        <f aca="false">(Assumptions!$C$61+(Assumptions!$C$11+Assumptions!$C$12+Assumptions!$C$13)*Assumptions!$C$62/100)*(1+Assumptions!$C$65)^(AA2-1)</f>
        <v>20.145236410572</v>
      </c>
    </row>
    <row r="18" customFormat="false" ht="15" hidden="false" customHeight="false" outlineLevel="0" collapsed="false">
      <c r="B18" s="5" t="s">
        <v>232</v>
      </c>
      <c r="C18" s="17" t="n">
        <f aca="false">Capex!$C$16*Assumptions!$C$63/100*(1+Assumptions!$C$65)^(C2-1)</f>
        <v>5.6</v>
      </c>
      <c r="D18" s="17" t="n">
        <f aca="false">Capex!$C$16*Assumptions!$C$63/100*(1+Assumptions!$C$65)^(D2-1)</f>
        <v>5.796</v>
      </c>
      <c r="E18" s="17" t="n">
        <f aca="false">Capex!$C$16*Assumptions!$C$63/100*(1+Assumptions!$C$65)^(E2-1)</f>
        <v>5.99886</v>
      </c>
      <c r="F18" s="17" t="n">
        <f aca="false">Capex!$C$16*Assumptions!$C$63/100*(1+Assumptions!$C$65)^(F2-1)</f>
        <v>6.2088201</v>
      </c>
      <c r="G18" s="17" t="n">
        <f aca="false">Capex!$C$16*Assumptions!$C$63/100*(1+Assumptions!$C$65)^(G2-1)</f>
        <v>6.4261288035</v>
      </c>
      <c r="H18" s="17" t="n">
        <f aca="false">Capex!$C$16*Assumptions!$C$63/100*(1+Assumptions!$C$65)^(H2-1)</f>
        <v>6.6510433116225</v>
      </c>
      <c r="I18" s="17" t="n">
        <f aca="false">Capex!$C$16*Assumptions!$C$63/100*(1+Assumptions!$C$65)^(I2-1)</f>
        <v>6.88382982752928</v>
      </c>
      <c r="J18" s="17" t="n">
        <f aca="false">Capex!$C$16*Assumptions!$C$63/100*(1+Assumptions!$C$65)^(J2-1)</f>
        <v>7.12476387149281</v>
      </c>
      <c r="K18" s="17" t="n">
        <f aca="false">Capex!$C$16*Assumptions!$C$63/100*(1+Assumptions!$C$65)^(K2-1)</f>
        <v>7.37413060699506</v>
      </c>
      <c r="L18" s="17" t="n">
        <f aca="false">Capex!$C$16*Assumptions!$C$63/100*(1+Assumptions!$C$65)^(L2-1)</f>
        <v>7.63222517823988</v>
      </c>
      <c r="M18" s="17" t="n">
        <f aca="false">Capex!$C$16*Assumptions!$C$63/100*(1+Assumptions!$C$65)^(M2-1)</f>
        <v>7.89935305947828</v>
      </c>
      <c r="N18" s="17" t="n">
        <f aca="false">Capex!$C$16*Assumptions!$C$63/100*(1+Assumptions!$C$65)^(N2-1)</f>
        <v>8.17583041656002</v>
      </c>
      <c r="O18" s="17" t="n">
        <f aca="false">Capex!$C$16*Assumptions!$C$63/100*(1+Assumptions!$C$65)^(O2-1)</f>
        <v>8.46198448113962</v>
      </c>
      <c r="P18" s="17" t="n">
        <f aca="false">Capex!$C$16*Assumptions!$C$63/100*(1+Assumptions!$C$65)^(P2-1)</f>
        <v>8.7581539379795</v>
      </c>
      <c r="Q18" s="17" t="n">
        <f aca="false">Capex!$C$16*Assumptions!$C$63/100*(1+Assumptions!$C$65)^(Q2-1)</f>
        <v>9.06468932580878</v>
      </c>
      <c r="R18" s="17" t="n">
        <f aca="false">Capex!$C$16*Assumptions!$C$63/100*(1+Assumptions!$C$65)^(R2-1)</f>
        <v>9.38195345221209</v>
      </c>
      <c r="S18" s="17" t="n">
        <f aca="false">Capex!$C$16*Assumptions!$C$63/100*(1+Assumptions!$C$65)^(S2-1)</f>
        <v>9.71032182303951</v>
      </c>
      <c r="T18" s="17" t="n">
        <f aca="false">Capex!$C$16*Assumptions!$C$63/100*(1+Assumptions!$C$65)^(T2-1)</f>
        <v>10.0501830868459</v>
      </c>
      <c r="U18" s="17" t="n">
        <f aca="false">Capex!$C$16*Assumptions!$C$63/100*(1+Assumptions!$C$65)^(U2-1)</f>
        <v>10.4019394948855</v>
      </c>
      <c r="V18" s="17" t="n">
        <f aca="false">Capex!$C$16*Assumptions!$C$63/100*(1+Assumptions!$C$65)^(V2-1)</f>
        <v>10.7660073772065</v>
      </c>
      <c r="W18" s="17" t="n">
        <f aca="false">Capex!$C$16*Assumptions!$C$63/100*(1+Assumptions!$C$65)^(W2-1)</f>
        <v>11.1428176354087</v>
      </c>
      <c r="X18" s="17" t="n">
        <f aca="false">Capex!$C$16*Assumptions!$C$63/100*(1+Assumptions!$C$65)^(X2-1)</f>
        <v>11.532816252648</v>
      </c>
      <c r="Y18" s="17" t="n">
        <f aca="false">Capex!$C$16*Assumptions!$C$63/100*(1+Assumptions!$C$65)^(Y2-1)</f>
        <v>11.9364648214907</v>
      </c>
      <c r="Z18" s="17" t="n">
        <f aca="false">Capex!$C$16*Assumptions!$C$63/100*(1+Assumptions!$C$65)^(Z2-1)</f>
        <v>12.3542410902429</v>
      </c>
      <c r="AA18" s="17" t="n">
        <f aca="false">Capex!$C$16*Assumptions!$C$63/100*(1+Assumptions!$C$65)^(AA2-1)</f>
        <v>12.7866395284014</v>
      </c>
    </row>
    <row r="19" customFormat="false" ht="15" hidden="false" customHeight="false" outlineLevel="0" collapsed="false">
      <c r="B19" s="5" t="s">
        <v>233</v>
      </c>
      <c r="C19" s="17" t="n">
        <f aca="false">Capex!$C$15*Assumptions!$C$64</f>
        <v>9.46962842</v>
      </c>
      <c r="D19" s="17" t="n">
        <f aca="false">Capex!$C$15*Assumptions!$C$64</f>
        <v>9.46962842</v>
      </c>
      <c r="E19" s="17" t="n">
        <f aca="false">Capex!$C$15*Assumptions!$C$64</f>
        <v>9.46962842</v>
      </c>
      <c r="F19" s="17" t="n">
        <f aca="false">Capex!$C$15*Assumptions!$C$64</f>
        <v>9.46962842</v>
      </c>
      <c r="G19" s="17" t="n">
        <f aca="false">Capex!$C$15*Assumptions!$C$64</f>
        <v>9.46962842</v>
      </c>
      <c r="H19" s="17" t="n">
        <f aca="false">Capex!$C$15*Assumptions!$C$64</f>
        <v>9.46962842</v>
      </c>
      <c r="I19" s="17" t="n">
        <f aca="false">Capex!$C$15*Assumptions!$C$64</f>
        <v>9.46962842</v>
      </c>
      <c r="J19" s="17" t="n">
        <f aca="false">Capex!$C$15*Assumptions!$C$64</f>
        <v>9.46962842</v>
      </c>
      <c r="K19" s="17" t="n">
        <f aca="false">Capex!$C$15*Assumptions!$C$64</f>
        <v>9.46962842</v>
      </c>
      <c r="L19" s="17" t="n">
        <f aca="false">Capex!$C$15*Assumptions!$C$64</f>
        <v>9.46962842</v>
      </c>
      <c r="M19" s="17" t="n">
        <f aca="false">Capex!$C$15*Assumptions!$C$64</f>
        <v>9.46962842</v>
      </c>
      <c r="N19" s="17" t="n">
        <f aca="false">Capex!$C$15*Assumptions!$C$64</f>
        <v>9.46962842</v>
      </c>
      <c r="O19" s="17" t="n">
        <f aca="false">Capex!$C$15*Assumptions!$C$64</f>
        <v>9.46962842</v>
      </c>
      <c r="P19" s="17" t="n">
        <f aca="false">Capex!$C$15*Assumptions!$C$64</f>
        <v>9.46962842</v>
      </c>
      <c r="Q19" s="17" t="n">
        <f aca="false">Capex!$C$15*Assumptions!$C$64</f>
        <v>9.46962842</v>
      </c>
      <c r="R19" s="17" t="n">
        <f aca="false">Capex!$C$15*Assumptions!$C$64</f>
        <v>9.46962842</v>
      </c>
      <c r="S19" s="17" t="n">
        <f aca="false">Capex!$C$15*Assumptions!$C$64</f>
        <v>9.46962842</v>
      </c>
      <c r="T19" s="17" t="n">
        <f aca="false">Capex!$C$15*Assumptions!$C$64</f>
        <v>9.46962842</v>
      </c>
      <c r="U19" s="17" t="n">
        <f aca="false">Capex!$C$15*Assumptions!$C$64</f>
        <v>9.46962842</v>
      </c>
      <c r="V19" s="17" t="n">
        <f aca="false">Capex!$C$15*Assumptions!$C$64</f>
        <v>9.46962842</v>
      </c>
      <c r="W19" s="17" t="n">
        <f aca="false">Capex!$C$15*Assumptions!$C$64</f>
        <v>9.46962842</v>
      </c>
      <c r="X19" s="17" t="n">
        <f aca="false">Capex!$C$15*Assumptions!$C$64</f>
        <v>9.46962842</v>
      </c>
      <c r="Y19" s="17" t="n">
        <f aca="false">Capex!$C$15*Assumptions!$C$64</f>
        <v>9.46962842</v>
      </c>
      <c r="Z19" s="17" t="n">
        <f aca="false">Capex!$C$15*Assumptions!$C$64</f>
        <v>9.46962842</v>
      </c>
      <c r="AA19" s="17" t="n">
        <f aca="false">Capex!$C$15*Assumptions!$C$64</f>
        <v>9.46962842</v>
      </c>
    </row>
    <row r="20" customFormat="false" ht="15" hidden="false" customHeight="false" outlineLevel="0" collapsed="false">
      <c r="B20" s="5" t="s">
        <v>234</v>
      </c>
      <c r="C20" s="17" t="n">
        <f aca="false">MAX(C13,0)*Assumptions!$C$79/365*Assumptions!$C$80</f>
        <v>6.98702329777053</v>
      </c>
      <c r="D20" s="17" t="n">
        <f aca="false">MAX(D13,0)*Assumptions!$C$79/365*Assumptions!$C$80</f>
        <v>6.98532376703574</v>
      </c>
      <c r="E20" s="17" t="n">
        <f aca="false">MAX(E13,0)*Assumptions!$C$79/365*Assumptions!$C$80</f>
        <v>6.98340295830751</v>
      </c>
      <c r="F20" s="17" t="n">
        <f aca="false">MAX(F13,0)*Assumptions!$C$79/365*Assumptions!$C$80</f>
        <v>6.98125361082869</v>
      </c>
      <c r="G20" s="17" t="n">
        <f aca="false">MAX(G13,0)*Assumptions!$C$79/365*Assumptions!$C$80</f>
        <v>6.97886827558125</v>
      </c>
      <c r="H20" s="17" t="n">
        <f aca="false">MAX(H13,0)*Assumptions!$C$79/365*Assumptions!$C$80</f>
        <v>6.97623931086528</v>
      </c>
      <c r="I20" s="17" t="n">
        <f aca="false">MAX(I13,0)*Assumptions!$C$79/365*Assumptions!$C$80</f>
        <v>6.97335887777959</v>
      </c>
      <c r="J20" s="17" t="n">
        <f aca="false">MAX(J13,0)*Assumptions!$C$79/365*Assumptions!$C$80</f>
        <v>6.97021893560166</v>
      </c>
      <c r="K20" s="17" t="n">
        <f aca="false">MAX(K13,0)*Assumptions!$C$79/365*Assumptions!$C$80</f>
        <v>6.9668112370649</v>
      </c>
      <c r="L20" s="17" t="n">
        <f aca="false">MAX(L13,0)*Assumptions!$C$79/365*Assumptions!$C$80</f>
        <v>6.96312732353097</v>
      </c>
      <c r="M20" s="17" t="n">
        <f aca="false">MAX(M13,0)*Assumptions!$C$79/365*Assumptions!$C$80</f>
        <v>6.9591585200548</v>
      </c>
      <c r="N20" s="17" t="n">
        <f aca="false">MAX(N13,0)*Assumptions!$C$79/365*Assumptions!$C$80</f>
        <v>6.95489593034021</v>
      </c>
      <c r="O20" s="17" t="n">
        <f aca="false">MAX(O13,0)*Assumptions!$C$79/365*Assumptions!$C$80</f>
        <v>6.95033043158356</v>
      </c>
      <c r="P20" s="17" t="n">
        <f aca="false">MAX(P13,0)*Assumptions!$C$79/365*Assumptions!$C$80</f>
        <v>6.94545266920313</v>
      </c>
      <c r="Q20" s="17" t="n">
        <f aca="false">MAX(Q13,0)*Assumptions!$C$79/365*Assumptions!$C$80</f>
        <v>6.94025305145179</v>
      </c>
      <c r="R20" s="17" t="n">
        <f aca="false">MAX(R13,0)*Assumptions!$C$79/365*Assumptions!$C$80</f>
        <v>6.93472174391041</v>
      </c>
      <c r="S20" s="17" t="n">
        <f aca="false">MAX(S13,0)*Assumptions!$C$79/365*Assumptions!$C$80</f>
        <v>6.92884866385938</v>
      </c>
      <c r="T20" s="17" t="n">
        <f aca="false">MAX(T13,0)*Assumptions!$C$79/365*Assumptions!$C$80</f>
        <v>6.92262347452586</v>
      </c>
      <c r="U20" s="17" t="n">
        <f aca="false">MAX(U13,0)*Assumptions!$C$79/365*Assumptions!$C$80</f>
        <v>6.91603557920374</v>
      </c>
      <c r="V20" s="17" t="n">
        <f aca="false">MAX(V13,0)*Assumptions!$C$79/365*Assumptions!$C$80</f>
        <v>6.90907411524391</v>
      </c>
      <c r="W20" s="17" t="n">
        <f aca="false">MAX(W13,0)*Assumptions!$C$79/365*Assumptions!$C$80</f>
        <v>6.90172794791188</v>
      </c>
      <c r="X20" s="17" t="n">
        <f aca="false">MAX(X13,0)*Assumptions!$C$79/365*Assumptions!$C$80</f>
        <v>6.89398566410992</v>
      </c>
      <c r="Y20" s="17" t="n">
        <f aca="false">MAX(Y13,0)*Assumptions!$C$79/365*Assumptions!$C$80</f>
        <v>6.88583556596086</v>
      </c>
      <c r="Z20" s="17" t="n">
        <f aca="false">MAX(Z13,0)*Assumptions!$C$79/365*Assumptions!$C$80</f>
        <v>6.87726566425054</v>
      </c>
      <c r="AA20" s="17" t="n">
        <f aca="false">MAX(AA13,0)*Assumptions!$C$79/365*Assumptions!$C$80</f>
        <v>6.86826367172599</v>
      </c>
    </row>
    <row r="21" customFormat="false" ht="15" hidden="false" customHeight="false" outlineLevel="0" collapsed="false">
      <c r="B21" s="5" t="s">
        <v>235</v>
      </c>
      <c r="C21" s="17" t="n">
        <f aca="false">C10*Assumptions!$C$66</f>
        <v>2.065725432</v>
      </c>
      <c r="D21" s="17" t="n">
        <f aca="false">D10*Assumptions!$C$66</f>
        <v>2.065725432</v>
      </c>
      <c r="E21" s="17" t="n">
        <f aca="false">E10*Assumptions!$C$66</f>
        <v>2.065725432</v>
      </c>
      <c r="F21" s="17" t="n">
        <f aca="false">F10*Assumptions!$C$66</f>
        <v>2.065725432</v>
      </c>
      <c r="G21" s="17" t="n">
        <f aca="false">G10*Assumptions!$C$66</f>
        <v>2.065725432</v>
      </c>
      <c r="H21" s="17" t="n">
        <f aca="false">H10*Assumptions!$C$66</f>
        <v>2.065725432</v>
      </c>
      <c r="I21" s="17" t="n">
        <f aca="false">I10*Assumptions!$C$66</f>
        <v>2.065725432</v>
      </c>
      <c r="J21" s="17" t="n">
        <f aca="false">J10*Assumptions!$C$66</f>
        <v>2.065725432</v>
      </c>
      <c r="K21" s="17" t="n">
        <f aca="false">K10*Assumptions!$C$66</f>
        <v>2.065725432</v>
      </c>
      <c r="L21" s="17" t="n">
        <f aca="false">L10*Assumptions!$C$66</f>
        <v>2.065725432</v>
      </c>
      <c r="M21" s="17" t="n">
        <f aca="false">M10*Assumptions!$C$66</f>
        <v>2.065725432</v>
      </c>
      <c r="N21" s="17" t="n">
        <f aca="false">N10*Assumptions!$C$66</f>
        <v>2.065725432</v>
      </c>
      <c r="O21" s="17" t="n">
        <f aca="false">O10*Assumptions!$C$66</f>
        <v>2.065725432</v>
      </c>
      <c r="P21" s="17" t="n">
        <f aca="false">P10*Assumptions!$C$66</f>
        <v>2.065725432</v>
      </c>
      <c r="Q21" s="17" t="n">
        <f aca="false">Q10*Assumptions!$C$66</f>
        <v>2.065725432</v>
      </c>
      <c r="R21" s="17" t="n">
        <f aca="false">R10*Assumptions!$C$66</f>
        <v>2.065725432</v>
      </c>
      <c r="S21" s="17" t="n">
        <f aca="false">S10*Assumptions!$C$66</f>
        <v>2.065725432</v>
      </c>
      <c r="T21" s="17" t="n">
        <f aca="false">T10*Assumptions!$C$66</f>
        <v>2.065725432</v>
      </c>
      <c r="U21" s="17" t="n">
        <f aca="false">U10*Assumptions!$C$66</f>
        <v>2.065725432</v>
      </c>
      <c r="V21" s="17" t="n">
        <f aca="false">V10*Assumptions!$C$66</f>
        <v>2.065725432</v>
      </c>
      <c r="W21" s="17" t="n">
        <f aca="false">W10*Assumptions!$C$66</f>
        <v>2.065725432</v>
      </c>
      <c r="X21" s="17" t="n">
        <f aca="false">X10*Assumptions!$C$66</f>
        <v>2.065725432</v>
      </c>
      <c r="Y21" s="17" t="n">
        <f aca="false">Y10*Assumptions!$C$66</f>
        <v>2.065725432</v>
      </c>
      <c r="Z21" s="17" t="n">
        <f aca="false">Z10*Assumptions!$C$66</f>
        <v>2.065725432</v>
      </c>
      <c r="AA21" s="17" t="n">
        <f aca="false">AA10*Assumptions!$C$66</f>
        <v>2.065725432</v>
      </c>
    </row>
    <row r="22" customFormat="false" ht="15" hidden="false" customHeight="false" outlineLevel="0" collapsed="false">
      <c r="B22" s="18" t="s">
        <v>236</v>
      </c>
      <c r="C22" s="21" t="n">
        <f aca="false">SUM(C16:C21)</f>
        <v>59.8081271497705</v>
      </c>
      <c r="D22" s="21" t="n">
        <f aca="false">SUM(D16:D21)</f>
        <v>61.2514288690357</v>
      </c>
      <c r="E22" s="21" t="n">
        <f aca="false">SUM(E16:E21)</f>
        <v>62.7450843540575</v>
      </c>
      <c r="F22" s="21" t="n">
        <f aca="false">SUM(F16:F21)</f>
        <v>64.2908564706099</v>
      </c>
      <c r="G22" s="21" t="n">
        <f aca="false">SUM(G16:G21)</f>
        <v>65.8905698506348</v>
      </c>
      <c r="H22" s="21" t="n">
        <f aca="false">SUM(H16:H21)</f>
        <v>67.5461130562257</v>
      </c>
      <c r="I22" s="21" t="n">
        <f aca="false">SUM(I16:I21)</f>
        <v>69.2594408194076</v>
      </c>
      <c r="J22" s="21" t="n">
        <f aca="false">SUM(J16:J21)</f>
        <v>71.0325763603667</v>
      </c>
      <c r="K22" s="21" t="n">
        <f aca="false">SUM(K16:K21)</f>
        <v>72.8676137868767</v>
      </c>
      <c r="L22" s="21" t="n">
        <f aca="false">SUM(L16:L21)</f>
        <v>74.7667205777662</v>
      </c>
      <c r="M22" s="21" t="n">
        <f aca="false">SUM(M16:M21)</f>
        <v>76.7321401533683</v>
      </c>
      <c r="N22" s="21" t="n">
        <f aca="false">SUM(N16:N21)</f>
        <v>78.7661945359996</v>
      </c>
      <c r="O22" s="21" t="n">
        <f aca="false">SUM(O16:O21)</f>
        <v>80.871287103621</v>
      </c>
      <c r="P22" s="21" t="n">
        <f aca="false">SUM(P16:P21)</f>
        <v>83.0499054399419</v>
      </c>
      <c r="Q22" s="21" t="n">
        <f aca="false">SUM(Q16:Q21)</f>
        <v>85.3046242843465</v>
      </c>
      <c r="R22" s="21" t="n">
        <f aca="false">SUM(R16:R21)</f>
        <v>87.6381085851364</v>
      </c>
      <c r="S22" s="21" t="n">
        <f aca="false">SUM(S16:S21)</f>
        <v>90.0531166597083</v>
      </c>
      <c r="T22" s="21" t="n">
        <f aca="false">SUM(T16:T21)</f>
        <v>92.5525034654094</v>
      </c>
      <c r="U22" s="21" t="n">
        <f aca="false">SUM(U16:U21)</f>
        <v>95.1392239849482</v>
      </c>
      <c r="V22" s="21" t="n">
        <f aca="false">SUM(V16:V21)</f>
        <v>97.8163367303695</v>
      </c>
      <c r="W22" s="21" t="n">
        <f aca="false">SUM(W16:W21)</f>
        <v>100.587007369747</v>
      </c>
      <c r="X22" s="21" t="n">
        <f aca="false">SUM(X16:X21)</f>
        <v>103.454512480889</v>
      </c>
      <c r="Y22" s="21" t="n">
        <f aca="false">SUM(Y16:Y21)</f>
        <v>106.422243436507</v>
      </c>
      <c r="Z22" s="21" t="n">
        <f aca="false">SUM(Z16:Z21)</f>
        <v>109.493710425446</v>
      </c>
      <c r="AA22" s="21" t="n">
        <f aca="false">SUM(AA16:AA21)</f>
        <v>112.672546614743</v>
      </c>
    </row>
    <row r="23" customFormat="false" ht="15" hidden="false" customHeight="false" outlineLevel="0" collapsed="false">
      <c r="B23" s="18" t="s">
        <v>237</v>
      </c>
      <c r="C23" s="21" t="n">
        <f aca="false">C13-C22</f>
        <v>387.606522619746</v>
      </c>
      <c r="D23" s="21" t="n">
        <f aca="false">D13-D22</f>
        <v>386.054391300797</v>
      </c>
      <c r="E23" s="21" t="n">
        <f aca="false">E13-E22</f>
        <v>384.437736660371</v>
      </c>
      <c r="F23" s="21" t="n">
        <f aca="false">F13-F22</f>
        <v>382.754330889473</v>
      </c>
      <c r="G23" s="21" t="n">
        <f aca="false">G13-G22</f>
        <v>381.001872357638</v>
      </c>
      <c r="H23" s="21" t="n">
        <f aca="false">H13-H22</f>
        <v>379.177983165849</v>
      </c>
      <c r="I23" s="21" t="n">
        <f aca="false">I13-I22</f>
        <v>377.280206617356</v>
      </c>
      <c r="J23" s="21" t="n">
        <f aca="false">J13-J22</f>
        <v>375.306004603599</v>
      </c>
      <c r="K23" s="21" t="n">
        <f aca="false">K13-K22</f>
        <v>373.252754902367</v>
      </c>
      <c r="L23" s="21" t="n">
        <f aca="false">L13-L22</f>
        <v>371.117748385182</v>
      </c>
      <c r="M23" s="21" t="n">
        <f aca="false">M13-M22</f>
        <v>368.898186130842</v>
      </c>
      <c r="N23" s="21" t="n">
        <f aca="false">N13-N22</f>
        <v>366.591176441926</v>
      </c>
      <c r="O23" s="21" t="n">
        <f aca="false">O13-O22</f>
        <v>364.19373176094</v>
      </c>
      <c r="P23" s="21" t="n">
        <f aca="false">P13-P22</f>
        <v>361.702765482714</v>
      </c>
      <c r="Q23" s="21" t="n">
        <f aca="false">Q13-Q22</f>
        <v>359.115088659496</v>
      </c>
      <c r="R23" s="21" t="n">
        <f aca="false">R13-R22</f>
        <v>356.427406595091</v>
      </c>
      <c r="S23" s="21" t="n">
        <f aca="false">S13-S22</f>
        <v>353.63631532427</v>
      </c>
      <c r="T23" s="21" t="n">
        <f aca="false">T13-T22</f>
        <v>350.738297973527</v>
      </c>
      <c r="U23" s="21" t="n">
        <f aca="false">U13-U22</f>
        <v>347.729720999151</v>
      </c>
      <c r="V23" s="21" t="n">
        <f aca="false">V13-V22</f>
        <v>344.606830298407</v>
      </c>
      <c r="W23" s="21" t="n">
        <f aca="false">W13-W22</f>
        <v>341.365747189523</v>
      </c>
      <c r="X23" s="21" t="n">
        <f aca="false">X13-X22</f>
        <v>338.002464255974</v>
      </c>
      <c r="Y23" s="21" t="n">
        <f aca="false">Y13-Y22</f>
        <v>334.51284105046</v>
      </c>
      <c r="Z23" s="21" t="n">
        <f aca="false">Z13-Z22</f>
        <v>330.892599653755</v>
      </c>
      <c r="AA23" s="21" t="n">
        <f aca="false">AA13-AA22</f>
        <v>327.1373200835</v>
      </c>
    </row>
    <row r="25" customFormat="false" ht="15" hidden="false" customHeight="false" outlineLevel="0" collapsed="false">
      <c r="B25" s="35" t="s">
        <v>238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customFormat="false" ht="15" hidden="false" customHeight="false" outlineLevel="0" collapsed="false">
      <c r="B26" s="5" t="s">
        <v>239</v>
      </c>
      <c r="C26" s="19" t="n">
        <f aca="false">Capex!$C$21*Assumptions!$C$85</f>
        <v>2731.24413068592</v>
      </c>
      <c r="D26" s="19" t="n">
        <f aca="false">C29</f>
        <v>1638.74647841155</v>
      </c>
      <c r="E26" s="19" t="n">
        <f aca="false">D29</f>
        <v>983.247887046933</v>
      </c>
      <c r="F26" s="19" t="n">
        <f aca="false">E29</f>
        <v>589.94873222816</v>
      </c>
      <c r="G26" s="19" t="n">
        <f aca="false">F29</f>
        <v>353.969239336896</v>
      </c>
      <c r="H26" s="19" t="n">
        <f aca="false">G29</f>
        <v>212.381543602138</v>
      </c>
      <c r="I26" s="19" t="n">
        <f aca="false">H29</f>
        <v>127.428926161282</v>
      </c>
      <c r="J26" s="19" t="n">
        <f aca="false">I29</f>
        <v>76.4573556967695</v>
      </c>
      <c r="K26" s="19" t="n">
        <f aca="false">J29</f>
        <v>45.8744134180617</v>
      </c>
      <c r="L26" s="19" t="n">
        <f aca="false">K29</f>
        <v>27.524648050837</v>
      </c>
      <c r="M26" s="19" t="n">
        <f aca="false">L29</f>
        <v>16.5147888305022</v>
      </c>
      <c r="N26" s="19" t="n">
        <f aca="false">M29</f>
        <v>240.758873298301</v>
      </c>
      <c r="O26" s="19" t="n">
        <f aca="false">N29</f>
        <v>144.455323978981</v>
      </c>
      <c r="P26" s="19" t="n">
        <f aca="false">O29</f>
        <v>86.6731943873885</v>
      </c>
      <c r="Q26" s="19" t="n">
        <f aca="false">P29</f>
        <v>52.0039166324331</v>
      </c>
      <c r="R26" s="19" t="n">
        <f aca="false">Q29</f>
        <v>31.2023499794598</v>
      </c>
      <c r="S26" s="19" t="n">
        <f aca="false">R29</f>
        <v>18.7214099876759</v>
      </c>
      <c r="T26" s="19" t="n">
        <f aca="false">S29</f>
        <v>11.2328459926055</v>
      </c>
      <c r="U26" s="19" t="n">
        <f aca="false">T29</f>
        <v>6.73970759556333</v>
      </c>
      <c r="V26" s="19" t="n">
        <f aca="false">U29</f>
        <v>4.043824557338</v>
      </c>
      <c r="W26" s="19" t="n">
        <f aca="false">V29</f>
        <v>2.4262947344028</v>
      </c>
      <c r="X26" s="19" t="n">
        <f aca="false">W29</f>
        <v>1.45577684064168</v>
      </c>
      <c r="Y26" s="19" t="n">
        <f aca="false">X29</f>
        <v>0.873466104385007</v>
      </c>
      <c r="Z26" s="19" t="n">
        <f aca="false">Y29</f>
        <v>0.524079662631004</v>
      </c>
      <c r="AA26" s="19" t="n">
        <f aca="false">Z29</f>
        <v>0.314447797578602</v>
      </c>
    </row>
    <row r="27" customFormat="false" ht="15" hidden="false" customHeight="false" outlineLevel="0" collapsed="false">
      <c r="B27" s="5" t="s">
        <v>240</v>
      </c>
      <c r="C27" s="17" t="n">
        <f aca="false">IF(C2=Assumptions!$C$90,Capex!$C$28*Assumptions!$C$85,0)</f>
        <v>0</v>
      </c>
      <c r="D27" s="17" t="n">
        <f aca="false">IF(D2=Assumptions!$C$90,Capex!$C$28*Assumptions!$C$85,0)</f>
        <v>0</v>
      </c>
      <c r="E27" s="17" t="n">
        <f aca="false">IF(E2=Assumptions!$C$90,Capex!$C$28*Assumptions!$C$85,0)</f>
        <v>0</v>
      </c>
      <c r="F27" s="17" t="n">
        <f aca="false">IF(F2=Assumptions!$C$90,Capex!$C$28*Assumptions!$C$85,0)</f>
        <v>0</v>
      </c>
      <c r="G27" s="17" t="n">
        <f aca="false">IF(G2=Assumptions!$C$90,Capex!$C$28*Assumptions!$C$85,0)</f>
        <v>0</v>
      </c>
      <c r="H27" s="17" t="n">
        <f aca="false">IF(H2=Assumptions!$C$90,Capex!$C$28*Assumptions!$C$85,0)</f>
        <v>0</v>
      </c>
      <c r="I27" s="17" t="n">
        <f aca="false">IF(I2=Assumptions!$C$90,Capex!$C$28*Assumptions!$C$85,0)</f>
        <v>0</v>
      </c>
      <c r="J27" s="17" t="n">
        <f aca="false">IF(J2=Assumptions!$C$90,Capex!$C$28*Assumptions!$C$85,0)</f>
        <v>0</v>
      </c>
      <c r="K27" s="17" t="n">
        <f aca="false">IF(K2=Assumptions!$C$90,Capex!$C$28*Assumptions!$C$85,0)</f>
        <v>0</v>
      </c>
      <c r="L27" s="17" t="n">
        <f aca="false">IF(L2=Assumptions!$C$90,Capex!$C$28*Assumptions!$C$85,0)</f>
        <v>0</v>
      </c>
      <c r="M27" s="17" t="n">
        <f aca="false">IF(M2=Assumptions!$C$90,Capex!$C$28*Assumptions!$C$85,0)</f>
        <v>384.75</v>
      </c>
      <c r="N27" s="17" t="n">
        <f aca="false">IF(N2=Assumptions!$C$90,Capex!$C$28*Assumptions!$C$85,0)</f>
        <v>0</v>
      </c>
      <c r="O27" s="17" t="n">
        <f aca="false">IF(O2=Assumptions!$C$90,Capex!$C$28*Assumptions!$C$85,0)</f>
        <v>0</v>
      </c>
      <c r="P27" s="17" t="n">
        <f aca="false">IF(P2=Assumptions!$C$90,Capex!$C$28*Assumptions!$C$85,0)</f>
        <v>0</v>
      </c>
      <c r="Q27" s="17" t="n">
        <f aca="false">IF(Q2=Assumptions!$C$90,Capex!$C$28*Assumptions!$C$85,0)</f>
        <v>0</v>
      </c>
      <c r="R27" s="17" t="n">
        <f aca="false">IF(R2=Assumptions!$C$90,Capex!$C$28*Assumptions!$C$85,0)</f>
        <v>0</v>
      </c>
      <c r="S27" s="17" t="n">
        <f aca="false">IF(S2=Assumptions!$C$90,Capex!$C$28*Assumptions!$C$85,0)</f>
        <v>0</v>
      </c>
      <c r="T27" s="17" t="n">
        <f aca="false">IF(T2=Assumptions!$C$90,Capex!$C$28*Assumptions!$C$85,0)</f>
        <v>0</v>
      </c>
      <c r="U27" s="17" t="n">
        <f aca="false">IF(U2=Assumptions!$C$90,Capex!$C$28*Assumptions!$C$85,0)</f>
        <v>0</v>
      </c>
      <c r="V27" s="17" t="n">
        <f aca="false">IF(V2=Assumptions!$C$90,Capex!$C$28*Assumptions!$C$85,0)</f>
        <v>0</v>
      </c>
      <c r="W27" s="17" t="n">
        <f aca="false">IF(W2=Assumptions!$C$90,Capex!$C$28*Assumptions!$C$85,0)</f>
        <v>0</v>
      </c>
      <c r="X27" s="17" t="n">
        <f aca="false">IF(X2=Assumptions!$C$90,Capex!$C$28*Assumptions!$C$85,0)</f>
        <v>0</v>
      </c>
      <c r="Y27" s="17" t="n">
        <f aca="false">IF(Y2=Assumptions!$C$90,Capex!$C$28*Assumptions!$C$85,0)</f>
        <v>0</v>
      </c>
      <c r="Z27" s="17" t="n">
        <f aca="false">IF(Z2=Assumptions!$C$90,Capex!$C$28*Assumptions!$C$85,0)</f>
        <v>0</v>
      </c>
      <c r="AA27" s="17" t="n">
        <f aca="false">IF(AA2=Assumptions!$C$90,Capex!$C$28*Assumptions!$C$85,0)</f>
        <v>0</v>
      </c>
    </row>
    <row r="28" customFormat="false" ht="15" hidden="false" customHeight="false" outlineLevel="0" collapsed="false">
      <c r="B28" s="5" t="s">
        <v>241</v>
      </c>
      <c r="C28" s="17" t="n">
        <f aca="false">(C26+C27)*Assumptions!$C$84</f>
        <v>1092.49765227437</v>
      </c>
      <c r="D28" s="17" t="n">
        <f aca="false">(D26+D27)*Assumptions!$C$84</f>
        <v>655.498591364622</v>
      </c>
      <c r="E28" s="17" t="n">
        <f aca="false">(E26+E27)*Assumptions!$C$84</f>
        <v>393.299154818773</v>
      </c>
      <c r="F28" s="17" t="n">
        <f aca="false">(F26+F27)*Assumptions!$C$84</f>
        <v>235.979492891264</v>
      </c>
      <c r="G28" s="17" t="n">
        <f aca="false">(G26+G27)*Assumptions!$C$84</f>
        <v>141.587695734758</v>
      </c>
      <c r="H28" s="17" t="n">
        <f aca="false">(H26+H27)*Assumptions!$C$84</f>
        <v>84.952617440855</v>
      </c>
      <c r="I28" s="17" t="n">
        <f aca="false">(I26+I27)*Assumptions!$C$84</f>
        <v>50.971570464513</v>
      </c>
      <c r="J28" s="17" t="n">
        <f aca="false">(J26+J27)*Assumptions!$C$84</f>
        <v>30.5829422787078</v>
      </c>
      <c r="K28" s="17" t="n">
        <f aca="false">(K26+K27)*Assumptions!$C$84</f>
        <v>18.3497653672247</v>
      </c>
      <c r="L28" s="17" t="n">
        <f aca="false">(L26+L27)*Assumptions!$C$84</f>
        <v>11.0098592203348</v>
      </c>
      <c r="M28" s="17" t="n">
        <f aca="false">(M26+M27)*Assumptions!$C$84</f>
        <v>160.505915532201</v>
      </c>
      <c r="N28" s="17" t="n">
        <f aca="false">(N26+N27)*Assumptions!$C$84</f>
        <v>96.3035493193205</v>
      </c>
      <c r="O28" s="17" t="n">
        <f aca="false">(O26+O27)*Assumptions!$C$84</f>
        <v>57.7821295915923</v>
      </c>
      <c r="P28" s="17" t="n">
        <f aca="false">(P26+P27)*Assumptions!$C$84</f>
        <v>34.6692777549554</v>
      </c>
      <c r="Q28" s="17" t="n">
        <f aca="false">(Q26+Q27)*Assumptions!$C$84</f>
        <v>20.8015666529732</v>
      </c>
      <c r="R28" s="17" t="n">
        <f aca="false">(R26+R27)*Assumptions!$C$84</f>
        <v>12.4809399917839</v>
      </c>
      <c r="S28" s="17" t="n">
        <f aca="false">(S26+S27)*Assumptions!$C$84</f>
        <v>7.48856399507036</v>
      </c>
      <c r="T28" s="17" t="n">
        <f aca="false">(T26+T27)*Assumptions!$C$84</f>
        <v>4.49313839704222</v>
      </c>
      <c r="U28" s="17" t="n">
        <f aca="false">(U26+U27)*Assumptions!$C$84</f>
        <v>2.69588303822533</v>
      </c>
      <c r="V28" s="17" t="n">
        <f aca="false">(V26+V27)*Assumptions!$C$84</f>
        <v>1.6175298229352</v>
      </c>
      <c r="W28" s="17" t="n">
        <f aca="false">(W26+W27)*Assumptions!$C$84</f>
        <v>0.970517893761119</v>
      </c>
      <c r="X28" s="17" t="n">
        <f aca="false">(X26+X27)*Assumptions!$C$84</f>
        <v>0.582310736256671</v>
      </c>
      <c r="Y28" s="17" t="n">
        <f aca="false">(Y26+Y27)*Assumptions!$C$84</f>
        <v>0.349386441754003</v>
      </c>
      <c r="Z28" s="17" t="n">
        <f aca="false">(Z26+Z27)*Assumptions!$C$84</f>
        <v>0.209631865052402</v>
      </c>
      <c r="AA28" s="17" t="n">
        <f aca="false">(AA26+AA27)*Assumptions!$C$84</f>
        <v>0.125779119031441</v>
      </c>
    </row>
    <row r="29" customFormat="false" ht="15" hidden="false" customHeight="false" outlineLevel="0" collapsed="false">
      <c r="B29" s="5" t="s">
        <v>242</v>
      </c>
      <c r="C29" s="19" t="n">
        <f aca="false">C26+C27-C28</f>
        <v>1638.74647841155</v>
      </c>
      <c r="D29" s="19" t="n">
        <f aca="false">D26+D27-D28</f>
        <v>983.247887046933</v>
      </c>
      <c r="E29" s="19" t="n">
        <f aca="false">E26+E27-E28</f>
        <v>589.94873222816</v>
      </c>
      <c r="F29" s="19" t="n">
        <f aca="false">F26+F27-F28</f>
        <v>353.969239336896</v>
      </c>
      <c r="G29" s="19" t="n">
        <f aca="false">G26+G27-G28</f>
        <v>212.381543602138</v>
      </c>
      <c r="H29" s="19" t="n">
        <f aca="false">H26+H27-H28</f>
        <v>127.428926161282</v>
      </c>
      <c r="I29" s="19" t="n">
        <f aca="false">I26+I27-I28</f>
        <v>76.4573556967695</v>
      </c>
      <c r="J29" s="19" t="n">
        <f aca="false">J26+J27-J28</f>
        <v>45.8744134180617</v>
      </c>
      <c r="K29" s="19" t="n">
        <f aca="false">K26+K27-K28</f>
        <v>27.524648050837</v>
      </c>
      <c r="L29" s="19" t="n">
        <f aca="false">L26+L27-L28</f>
        <v>16.5147888305022</v>
      </c>
      <c r="M29" s="19" t="n">
        <f aca="false">M26+M27-M28</f>
        <v>240.758873298301</v>
      </c>
      <c r="N29" s="19" t="n">
        <f aca="false">N26+N27-N28</f>
        <v>144.455323978981</v>
      </c>
      <c r="O29" s="19" t="n">
        <f aca="false">O26+O27-O28</f>
        <v>86.6731943873885</v>
      </c>
      <c r="P29" s="19" t="n">
        <f aca="false">P26+P27-P28</f>
        <v>52.0039166324331</v>
      </c>
      <c r="Q29" s="19" t="n">
        <f aca="false">Q26+Q27-Q28</f>
        <v>31.2023499794598</v>
      </c>
      <c r="R29" s="19" t="n">
        <f aca="false">R26+R27-R28</f>
        <v>18.7214099876759</v>
      </c>
      <c r="S29" s="19" t="n">
        <f aca="false">S26+S27-S28</f>
        <v>11.2328459926055</v>
      </c>
      <c r="T29" s="19" t="n">
        <f aca="false">T26+T27-T28</f>
        <v>6.73970759556333</v>
      </c>
      <c r="U29" s="19" t="n">
        <f aca="false">U26+U27-U28</f>
        <v>4.043824557338</v>
      </c>
      <c r="V29" s="19" t="n">
        <f aca="false">V26+V27-V28</f>
        <v>2.4262947344028</v>
      </c>
      <c r="W29" s="19" t="n">
        <f aca="false">W26+W27-W28</f>
        <v>1.45577684064168</v>
      </c>
      <c r="X29" s="19" t="n">
        <f aca="false">X26+X27-X28</f>
        <v>0.873466104385007</v>
      </c>
      <c r="Y29" s="19" t="n">
        <f aca="false">Y26+Y27-Y28</f>
        <v>0.524079662631004</v>
      </c>
      <c r="Z29" s="19" t="n">
        <f aca="false">Z26+Z27-Z28</f>
        <v>0.314447797578602</v>
      </c>
      <c r="AA29" s="19" t="n">
        <f aca="false">AA26+AA27-AA28</f>
        <v>0.188668678547161</v>
      </c>
    </row>
    <row r="30" customFormat="false" ht="15" hidden="false" customHeight="false" outlineLevel="0" collapsed="false">
      <c r="B30" s="5" t="s">
        <v>243</v>
      </c>
      <c r="C30" s="17" t="n">
        <f aca="false">Capex!$C$21*(1-Assumptions!$C$85)/Assumptions!$C$86</f>
        <v>5.74998764354932</v>
      </c>
      <c r="D30" s="17" t="n">
        <f aca="false">Capex!$C$21*(1-Assumptions!$C$85)/Assumptions!$C$86</f>
        <v>5.74998764354932</v>
      </c>
      <c r="E30" s="17" t="n">
        <f aca="false">Capex!$C$21*(1-Assumptions!$C$85)/Assumptions!$C$86</f>
        <v>5.74998764354932</v>
      </c>
      <c r="F30" s="17" t="n">
        <f aca="false">Capex!$C$21*(1-Assumptions!$C$85)/Assumptions!$C$86</f>
        <v>5.74998764354932</v>
      </c>
      <c r="G30" s="17" t="n">
        <f aca="false">Capex!$C$21*(1-Assumptions!$C$85)/Assumptions!$C$86</f>
        <v>5.74998764354932</v>
      </c>
      <c r="H30" s="17" t="n">
        <f aca="false">Capex!$C$21*(1-Assumptions!$C$85)/Assumptions!$C$86</f>
        <v>5.74998764354932</v>
      </c>
      <c r="I30" s="17" t="n">
        <f aca="false">Capex!$C$21*(1-Assumptions!$C$85)/Assumptions!$C$86</f>
        <v>5.74998764354932</v>
      </c>
      <c r="J30" s="17" t="n">
        <f aca="false">Capex!$C$21*(1-Assumptions!$C$85)/Assumptions!$C$86</f>
        <v>5.74998764354932</v>
      </c>
      <c r="K30" s="17" t="n">
        <f aca="false">Capex!$C$21*(1-Assumptions!$C$85)/Assumptions!$C$86</f>
        <v>5.74998764354932</v>
      </c>
      <c r="L30" s="17" t="n">
        <f aca="false">Capex!$C$21*(1-Assumptions!$C$85)/Assumptions!$C$86</f>
        <v>5.74998764354932</v>
      </c>
      <c r="M30" s="17" t="n">
        <f aca="false">Capex!$C$21*(1-Assumptions!$C$85)/Assumptions!$C$86</f>
        <v>5.74998764354932</v>
      </c>
      <c r="N30" s="17" t="n">
        <f aca="false">Capex!$C$21*(1-Assumptions!$C$85)/Assumptions!$C$86</f>
        <v>5.74998764354932</v>
      </c>
      <c r="O30" s="17" t="n">
        <f aca="false">Capex!$C$21*(1-Assumptions!$C$85)/Assumptions!$C$86</f>
        <v>5.74998764354932</v>
      </c>
      <c r="P30" s="17" t="n">
        <f aca="false">Capex!$C$21*(1-Assumptions!$C$85)/Assumptions!$C$86</f>
        <v>5.74998764354932</v>
      </c>
      <c r="Q30" s="17" t="n">
        <f aca="false">Capex!$C$21*(1-Assumptions!$C$85)/Assumptions!$C$86</f>
        <v>5.74998764354932</v>
      </c>
      <c r="R30" s="17" t="n">
        <f aca="false">Capex!$C$21*(1-Assumptions!$C$85)/Assumptions!$C$86</f>
        <v>5.74998764354932</v>
      </c>
      <c r="S30" s="17" t="n">
        <f aca="false">Capex!$C$21*(1-Assumptions!$C$85)/Assumptions!$C$86</f>
        <v>5.74998764354932</v>
      </c>
      <c r="T30" s="17" t="n">
        <f aca="false">Capex!$C$21*(1-Assumptions!$C$85)/Assumptions!$C$86</f>
        <v>5.74998764354932</v>
      </c>
      <c r="U30" s="17" t="n">
        <f aca="false">Capex!$C$21*(1-Assumptions!$C$85)/Assumptions!$C$86</f>
        <v>5.74998764354932</v>
      </c>
      <c r="V30" s="17" t="n">
        <f aca="false">Capex!$C$21*(1-Assumptions!$C$85)/Assumptions!$C$86</f>
        <v>5.74998764354932</v>
      </c>
      <c r="W30" s="17" t="n">
        <f aca="false">Capex!$C$21*(1-Assumptions!$C$85)/Assumptions!$C$86</f>
        <v>5.74998764354932</v>
      </c>
      <c r="X30" s="17" t="n">
        <f aca="false">Capex!$C$21*(1-Assumptions!$C$85)/Assumptions!$C$86</f>
        <v>5.74998764354932</v>
      </c>
      <c r="Y30" s="17" t="n">
        <f aca="false">Capex!$C$21*(1-Assumptions!$C$85)/Assumptions!$C$86</f>
        <v>5.74998764354932</v>
      </c>
      <c r="Z30" s="17" t="n">
        <f aca="false">Capex!$C$21*(1-Assumptions!$C$85)/Assumptions!$C$86</f>
        <v>5.74998764354932</v>
      </c>
      <c r="AA30" s="17" t="n">
        <f aca="false">Capex!$C$21*(1-Assumptions!$C$85)/Assumptions!$C$86</f>
        <v>5.74998764354932</v>
      </c>
    </row>
    <row r="31" customFormat="false" ht="15" hidden="false" customHeight="false" outlineLevel="0" collapsed="false">
      <c r="B31" s="5" t="s">
        <v>244</v>
      </c>
      <c r="C31" s="19" t="n">
        <f aca="false">C28+C30</f>
        <v>1098.24763991792</v>
      </c>
      <c r="D31" s="19" t="n">
        <f aca="false">D28+D30</f>
        <v>661.248579008171</v>
      </c>
      <c r="E31" s="19" t="n">
        <f aca="false">E28+E30</f>
        <v>399.049142462323</v>
      </c>
      <c r="F31" s="19" t="n">
        <f aca="false">F28+F30</f>
        <v>241.729480534813</v>
      </c>
      <c r="G31" s="19" t="n">
        <f aca="false">G28+G30</f>
        <v>147.337683378308</v>
      </c>
      <c r="H31" s="19" t="n">
        <f aca="false">H28+H30</f>
        <v>90.7026050844043</v>
      </c>
      <c r="I31" s="19" t="n">
        <f aca="false">I28+I30</f>
        <v>56.7215581080623</v>
      </c>
      <c r="J31" s="19" t="n">
        <f aca="false">J28+J30</f>
        <v>36.3329299222571</v>
      </c>
      <c r="K31" s="19" t="n">
        <f aca="false">K28+K30</f>
        <v>24.099753010774</v>
      </c>
      <c r="L31" s="19" t="n">
        <f aca="false">L28+L30</f>
        <v>16.7598468638841</v>
      </c>
      <c r="M31" s="19" t="n">
        <f aca="false">M28+M30</f>
        <v>166.25590317575</v>
      </c>
      <c r="N31" s="19" t="n">
        <f aca="false">N28+N30</f>
        <v>102.05353696287</v>
      </c>
      <c r="O31" s="19" t="n">
        <f aca="false">O28+O30</f>
        <v>63.5321172351416</v>
      </c>
      <c r="P31" s="19" t="n">
        <f aca="false">P28+P30</f>
        <v>40.4192653985047</v>
      </c>
      <c r="Q31" s="19" t="n">
        <f aca="false">Q28+Q30</f>
        <v>26.5515542965226</v>
      </c>
      <c r="R31" s="19" t="n">
        <f aca="false">R28+R30</f>
        <v>18.2309276353333</v>
      </c>
      <c r="S31" s="19" t="n">
        <f aca="false">S28+S30</f>
        <v>13.2385516386197</v>
      </c>
      <c r="T31" s="19" t="n">
        <f aca="false">T28+T30</f>
        <v>10.2431260405915</v>
      </c>
      <c r="U31" s="19" t="n">
        <f aca="false">U28+U30</f>
        <v>8.44587068177465</v>
      </c>
      <c r="V31" s="19" t="n">
        <f aca="false">V28+V30</f>
        <v>7.36751746648452</v>
      </c>
      <c r="W31" s="19" t="n">
        <f aca="false">W28+W30</f>
        <v>6.72050553731044</v>
      </c>
      <c r="X31" s="19" t="n">
        <f aca="false">X28+X30</f>
        <v>6.33229837980599</v>
      </c>
      <c r="Y31" s="19" t="n">
        <f aca="false">Y28+Y30</f>
        <v>6.09937408530332</v>
      </c>
      <c r="Z31" s="19" t="n">
        <f aca="false">Z28+Z30</f>
        <v>5.95961950860172</v>
      </c>
      <c r="AA31" s="19" t="n">
        <f aca="false">AA28+AA30</f>
        <v>5.87576676258076</v>
      </c>
    </row>
    <row r="32" customFormat="false" ht="15" hidden="false" customHeight="false" outlineLevel="0" collapsed="false">
      <c r="B32" s="5" t="s">
        <v>245</v>
      </c>
      <c r="C32" s="19" t="n">
        <f aca="false">C23-C47-C31</f>
        <v>-899.312586852135</v>
      </c>
      <c r="D32" s="19" t="n">
        <f aca="false">D23-D47-D31</f>
        <v>-461.78430512925</v>
      </c>
      <c r="E32" s="19" t="n">
        <f aca="false">E23-E47-E31</f>
        <v>-194.675361409271</v>
      </c>
      <c r="F32" s="19" t="n">
        <f aca="false">F23-F47-F31</f>
        <v>-32.037461128581</v>
      </c>
      <c r="G32" s="19" t="n">
        <f aca="false">G23-G47-G31</f>
        <v>68.1166619526214</v>
      </c>
      <c r="H32" s="19" t="n">
        <f aca="false">H23-H47-H31</f>
        <v>130.996592820426</v>
      </c>
      <c r="I32" s="19" t="n">
        <f aca="false">I23-I47-I31</f>
        <v>171.746810150243</v>
      </c>
      <c r="J32" s="19" t="n">
        <f aca="false">J23-J47-J31</f>
        <v>199.474362576024</v>
      </c>
      <c r="K32" s="19" t="n">
        <f aca="false">K23-K47-K31</f>
        <v>219.665617238468</v>
      </c>
      <c r="L32" s="19" t="n">
        <f aca="false">L23-L47-L31</f>
        <v>235.636464188465</v>
      </c>
      <c r="M32" s="19" t="n">
        <f aca="false">M23-M47-M31</f>
        <v>95.5026078839998</v>
      </c>
      <c r="N32" s="19" t="n">
        <f aca="false">N23-N47-N31</f>
        <v>169.861925711503</v>
      </c>
      <c r="O32" s="19" t="n">
        <f aca="false">O23-O47-O31</f>
        <v>219.404082782237</v>
      </c>
      <c r="P32" s="19" t="n">
        <f aca="false">P23-P47-P31</f>
        <v>254.476517959113</v>
      </c>
      <c r="Q32" s="19" t="n">
        <f aca="false">Q23-Q47-Q31</f>
        <v>278.686305789628</v>
      </c>
      <c r="R32" s="19" t="n">
        <f aca="false">R23-R47-R31</f>
        <v>296.713564144006</v>
      </c>
      <c r="S32" s="19" t="n">
        <f aca="false">S23-S47-S31</f>
        <v>311.966214820113</v>
      </c>
      <c r="T32" s="19" t="n">
        <f aca="false">T23-T47-T31</f>
        <v>325.864753746822</v>
      </c>
      <c r="U32" s="19" t="n">
        <f aca="false">U23-U47-U31</f>
        <v>339.283850317376</v>
      </c>
      <c r="V32" s="19" t="n">
        <f aca="false">V23-V47-V31</f>
        <v>337.239312831922</v>
      </c>
      <c r="W32" s="19" t="n">
        <f aca="false">W23-W47-W31</f>
        <v>334.645241652212</v>
      </c>
      <c r="X32" s="19" t="n">
        <f aca="false">X23-X47-X31</f>
        <v>331.670165876168</v>
      </c>
      <c r="Y32" s="19" t="n">
        <f aca="false">Y23-Y47-Y31</f>
        <v>328.413466965157</v>
      </c>
      <c r="Z32" s="19" t="n">
        <f aca="false">Z23-Z47-Z31</f>
        <v>324.932980145153</v>
      </c>
      <c r="AA32" s="19" t="n">
        <f aca="false">AA23-AA47-AA31</f>
        <v>321.261553320919</v>
      </c>
    </row>
    <row r="33" customFormat="false" ht="15" hidden="false" customHeight="false" outlineLevel="0" collapsed="false">
      <c r="B33" s="5" t="s">
        <v>246</v>
      </c>
      <c r="C33" s="19" t="n">
        <f aca="false">0</f>
        <v>0</v>
      </c>
      <c r="D33" s="19" t="n">
        <f aca="false">C36</f>
        <v>899.312586852135</v>
      </c>
      <c r="E33" s="19" t="n">
        <f aca="false">D36</f>
        <v>1361.09689198139</v>
      </c>
      <c r="F33" s="19" t="n">
        <f aca="false">E36</f>
        <v>1555.77225339066</v>
      </c>
      <c r="G33" s="19" t="n">
        <f aca="false">F36</f>
        <v>1587.80971451924</v>
      </c>
      <c r="H33" s="19" t="n">
        <f aca="false">G36</f>
        <v>1519.69305256662</v>
      </c>
      <c r="I33" s="19" t="n">
        <f aca="false">H36</f>
        <v>1388.69645974619</v>
      </c>
      <c r="J33" s="19" t="n">
        <f aca="false">I36</f>
        <v>1216.94964959595</v>
      </c>
      <c r="K33" s="19" t="n">
        <f aca="false">J36</f>
        <v>1017.47528701992</v>
      </c>
      <c r="L33" s="19" t="n">
        <f aca="false">K36</f>
        <v>797.809669781456</v>
      </c>
      <c r="M33" s="19" t="n">
        <f aca="false">L36</f>
        <v>562.173205592991</v>
      </c>
      <c r="N33" s="19" t="n">
        <f aca="false">M36</f>
        <v>466.670597708991</v>
      </c>
      <c r="O33" s="19" t="n">
        <f aca="false">N36</f>
        <v>296.808671997488</v>
      </c>
      <c r="P33" s="19" t="n">
        <f aca="false">O36</f>
        <v>77.4045892152507</v>
      </c>
      <c r="Q33" s="19" t="n">
        <f aca="false">P36</f>
        <v>0</v>
      </c>
      <c r="R33" s="19" t="n">
        <f aca="false">Q36</f>
        <v>0</v>
      </c>
      <c r="S33" s="19" t="n">
        <f aca="false">R36</f>
        <v>0</v>
      </c>
      <c r="T33" s="19" t="n">
        <f aca="false">S36</f>
        <v>0</v>
      </c>
      <c r="U33" s="19" t="n">
        <f aca="false">T36</f>
        <v>0</v>
      </c>
      <c r="V33" s="19" t="n">
        <f aca="false">U36</f>
        <v>0</v>
      </c>
      <c r="W33" s="19" t="n">
        <f aca="false">V36</f>
        <v>0</v>
      </c>
      <c r="X33" s="19" t="n">
        <f aca="false">W36</f>
        <v>0</v>
      </c>
      <c r="Y33" s="19" t="n">
        <f aca="false">X36</f>
        <v>0</v>
      </c>
      <c r="Z33" s="19" t="n">
        <f aca="false">Y36</f>
        <v>0</v>
      </c>
      <c r="AA33" s="19" t="n">
        <f aca="false">Z36</f>
        <v>0</v>
      </c>
    </row>
    <row r="34" customFormat="false" ht="15" hidden="false" customHeight="false" outlineLevel="0" collapsed="false">
      <c r="B34" s="5" t="s">
        <v>247</v>
      </c>
      <c r="C34" s="19" t="n">
        <f aca="false">C32-C33</f>
        <v>-899.312586852135</v>
      </c>
      <c r="D34" s="19" t="n">
        <f aca="false">D32-D33</f>
        <v>-1361.09689198139</v>
      </c>
      <c r="E34" s="19" t="n">
        <f aca="false">E32-E33</f>
        <v>-1555.77225339066</v>
      </c>
      <c r="F34" s="19" t="n">
        <f aca="false">F32-F33</f>
        <v>-1587.80971451924</v>
      </c>
      <c r="G34" s="19" t="n">
        <f aca="false">G32-G33</f>
        <v>-1519.69305256662</v>
      </c>
      <c r="H34" s="19" t="n">
        <f aca="false">H32-H33</f>
        <v>-1388.69645974619</v>
      </c>
      <c r="I34" s="19" t="n">
        <f aca="false">I32-I33</f>
        <v>-1216.94964959595</v>
      </c>
      <c r="J34" s="19" t="n">
        <f aca="false">J32-J33</f>
        <v>-1017.47528701992</v>
      </c>
      <c r="K34" s="19" t="n">
        <f aca="false">K32-K33</f>
        <v>-797.809669781456</v>
      </c>
      <c r="L34" s="19" t="n">
        <f aca="false">L32-L33</f>
        <v>-562.173205592991</v>
      </c>
      <c r="M34" s="19" t="n">
        <f aca="false">M32-M33</f>
        <v>-466.670597708991</v>
      </c>
      <c r="N34" s="19" t="n">
        <f aca="false">N32-N33</f>
        <v>-296.808671997488</v>
      </c>
      <c r="O34" s="19" t="n">
        <f aca="false">O32-O33</f>
        <v>-77.4045892152507</v>
      </c>
      <c r="P34" s="19" t="n">
        <f aca="false">P32-P33</f>
        <v>177.071928743862</v>
      </c>
      <c r="Q34" s="19" t="n">
        <f aca="false">Q32-Q33</f>
        <v>278.686305789628</v>
      </c>
      <c r="R34" s="19" t="n">
        <f aca="false">R32-R33</f>
        <v>296.713564144006</v>
      </c>
      <c r="S34" s="19" t="n">
        <f aca="false">S32-S33</f>
        <v>311.966214820113</v>
      </c>
      <c r="T34" s="19" t="n">
        <f aca="false">T32-T33</f>
        <v>325.864753746822</v>
      </c>
      <c r="U34" s="19" t="n">
        <f aca="false">U32-U33</f>
        <v>339.283850317376</v>
      </c>
      <c r="V34" s="19" t="n">
        <f aca="false">V32-V33</f>
        <v>337.239312831922</v>
      </c>
      <c r="W34" s="19" t="n">
        <f aca="false">W32-W33</f>
        <v>334.645241652212</v>
      </c>
      <c r="X34" s="19" t="n">
        <f aca="false">X32-X33</f>
        <v>331.670165876168</v>
      </c>
      <c r="Y34" s="19" t="n">
        <f aca="false">Y32-Y33</f>
        <v>328.413466965157</v>
      </c>
      <c r="Z34" s="19" t="n">
        <f aca="false">Z32-Z33</f>
        <v>324.932980145153</v>
      </c>
      <c r="AA34" s="19" t="n">
        <f aca="false">AA32-AA33</f>
        <v>321.261553320919</v>
      </c>
    </row>
    <row r="35" customFormat="false" ht="15" hidden="false" customHeight="false" outlineLevel="0" collapsed="false">
      <c r="B35" s="18" t="s">
        <v>248</v>
      </c>
      <c r="C35" s="21" t="n">
        <f aca="false">MAX(0,C34)*Assumptions!$C$83</f>
        <v>0</v>
      </c>
      <c r="D35" s="21" t="n">
        <f aca="false">MAX(0,D34)*Assumptions!$C$83</f>
        <v>0</v>
      </c>
      <c r="E35" s="21" t="n">
        <f aca="false">MAX(0,E34)*Assumptions!$C$83</f>
        <v>0</v>
      </c>
      <c r="F35" s="21" t="n">
        <f aca="false">MAX(0,F34)*Assumptions!$C$83</f>
        <v>0</v>
      </c>
      <c r="G35" s="21" t="n">
        <f aca="false">MAX(0,G34)*Assumptions!$C$83</f>
        <v>0</v>
      </c>
      <c r="H35" s="21" t="n">
        <f aca="false">MAX(0,H34)*Assumptions!$C$83</f>
        <v>0</v>
      </c>
      <c r="I35" s="21" t="n">
        <f aca="false">MAX(0,I34)*Assumptions!$C$83</f>
        <v>0</v>
      </c>
      <c r="J35" s="21" t="n">
        <f aca="false">MAX(0,J34)*Assumptions!$C$83</f>
        <v>0</v>
      </c>
      <c r="K35" s="21" t="n">
        <f aca="false">MAX(0,K34)*Assumptions!$C$83</f>
        <v>0</v>
      </c>
      <c r="L35" s="21" t="n">
        <f aca="false">MAX(0,L34)*Assumptions!$C$83</f>
        <v>0</v>
      </c>
      <c r="M35" s="21" t="n">
        <f aca="false">MAX(0,M34)*Assumptions!$C$83</f>
        <v>0</v>
      </c>
      <c r="N35" s="21" t="n">
        <f aca="false">MAX(0,N34)*Assumptions!$C$83</f>
        <v>0</v>
      </c>
      <c r="O35" s="21" t="n">
        <f aca="false">MAX(0,O34)*Assumptions!$C$83</f>
        <v>0</v>
      </c>
      <c r="P35" s="21" t="n">
        <f aca="false">MAX(0,P34)*Assumptions!$C$83</f>
        <v>44.5654630262553</v>
      </c>
      <c r="Q35" s="21" t="n">
        <f aca="false">MAX(0,Q34)*Assumptions!$C$83</f>
        <v>70.1397694411337</v>
      </c>
      <c r="R35" s="21" t="n">
        <f aca="false">MAX(0,R34)*Assumptions!$C$83</f>
        <v>74.6768698237634</v>
      </c>
      <c r="S35" s="21" t="n">
        <f aca="false">MAX(0,S34)*Assumptions!$C$83</f>
        <v>78.515656945926</v>
      </c>
      <c r="T35" s="21" t="n">
        <f aca="false">MAX(0,T34)*Assumptions!$C$83</f>
        <v>82.0136412230002</v>
      </c>
      <c r="U35" s="21" t="n">
        <f aca="false">MAX(0,U34)*Assumptions!$C$83</f>
        <v>85.3909594478772</v>
      </c>
      <c r="V35" s="21" t="n">
        <f aca="false">MAX(0,V34)*Assumptions!$C$83</f>
        <v>84.8763902535383</v>
      </c>
      <c r="W35" s="21" t="n">
        <f aca="false">MAX(0,W34)*Assumptions!$C$83</f>
        <v>84.2235144190288</v>
      </c>
      <c r="X35" s="21" t="n">
        <f aca="false">MAX(0,X34)*Assumptions!$C$83</f>
        <v>83.4747473477141</v>
      </c>
      <c r="Y35" s="21" t="n">
        <f aca="false">MAX(0,Y34)*Assumptions!$C$83</f>
        <v>82.6551013657906</v>
      </c>
      <c r="Z35" s="21" t="n">
        <f aca="false">MAX(0,Z34)*Assumptions!$C$83</f>
        <v>81.7791324429322</v>
      </c>
      <c r="AA35" s="21" t="n">
        <f aca="false">MAX(0,AA34)*Assumptions!$C$83</f>
        <v>80.855107739809</v>
      </c>
    </row>
    <row r="36" customFormat="false" ht="15" hidden="false" customHeight="false" outlineLevel="0" collapsed="false">
      <c r="B36" s="5" t="s">
        <v>249</v>
      </c>
      <c r="C36" s="19" t="n">
        <f aca="false">MAX(0,-C34)</f>
        <v>899.312586852135</v>
      </c>
      <c r="D36" s="19" t="n">
        <f aca="false">MAX(0,-D34)</f>
        <v>1361.09689198139</v>
      </c>
      <c r="E36" s="19" t="n">
        <f aca="false">MAX(0,-E34)</f>
        <v>1555.77225339066</v>
      </c>
      <c r="F36" s="19" t="n">
        <f aca="false">MAX(0,-F34)</f>
        <v>1587.80971451924</v>
      </c>
      <c r="G36" s="19" t="n">
        <f aca="false">MAX(0,-G34)</f>
        <v>1519.69305256662</v>
      </c>
      <c r="H36" s="19" t="n">
        <f aca="false">MAX(0,-H34)</f>
        <v>1388.69645974619</v>
      </c>
      <c r="I36" s="19" t="n">
        <f aca="false">MAX(0,-I34)</f>
        <v>1216.94964959595</v>
      </c>
      <c r="J36" s="19" t="n">
        <f aca="false">MAX(0,-J34)</f>
        <v>1017.47528701992</v>
      </c>
      <c r="K36" s="19" t="n">
        <f aca="false">MAX(0,-K34)</f>
        <v>797.809669781456</v>
      </c>
      <c r="L36" s="19" t="n">
        <f aca="false">MAX(0,-L34)</f>
        <v>562.173205592991</v>
      </c>
      <c r="M36" s="19" t="n">
        <f aca="false">MAX(0,-M34)</f>
        <v>466.670597708991</v>
      </c>
      <c r="N36" s="19" t="n">
        <f aca="false">MAX(0,-N34)</f>
        <v>296.808671997488</v>
      </c>
      <c r="O36" s="19" t="n">
        <f aca="false">MAX(0,-O34)</f>
        <v>77.4045892152507</v>
      </c>
      <c r="P36" s="19" t="n">
        <f aca="false">MAX(0,-P34)</f>
        <v>0</v>
      </c>
      <c r="Q36" s="19" t="n">
        <f aca="false">MAX(0,-Q34)</f>
        <v>0</v>
      </c>
      <c r="R36" s="19" t="n">
        <f aca="false">MAX(0,-R34)</f>
        <v>0</v>
      </c>
      <c r="S36" s="19" t="n">
        <f aca="false">MAX(0,-S34)</f>
        <v>0</v>
      </c>
      <c r="T36" s="19" t="n">
        <f aca="false">MAX(0,-T34)</f>
        <v>0</v>
      </c>
      <c r="U36" s="19" t="n">
        <f aca="false">MAX(0,-U34)</f>
        <v>0</v>
      </c>
      <c r="V36" s="19" t="n">
        <f aca="false">MAX(0,-V34)</f>
        <v>0</v>
      </c>
      <c r="W36" s="19" t="n">
        <f aca="false">MAX(0,-W34)</f>
        <v>0</v>
      </c>
      <c r="X36" s="19" t="n">
        <f aca="false">MAX(0,-X34)</f>
        <v>0</v>
      </c>
      <c r="Y36" s="19" t="n">
        <f aca="false">MAX(0,-Y34)</f>
        <v>0</v>
      </c>
      <c r="Z36" s="19" t="n">
        <f aca="false">MAX(0,-Z34)</f>
        <v>0</v>
      </c>
      <c r="AA36" s="19" t="n">
        <f aca="false">MAX(0,-AA34)</f>
        <v>0</v>
      </c>
    </row>
    <row r="38" customFormat="false" ht="15" hidden="false" customHeight="false" outlineLevel="0" collapsed="false">
      <c r="B38" s="35" t="s">
        <v>250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customFormat="false" ht="15" hidden="false" customHeight="false" outlineLevel="0" collapsed="false">
      <c r="B39" s="5" t="s">
        <v>251</v>
      </c>
      <c r="C39" s="17" t="n">
        <f aca="false">Capex!$C$21*(1-Assumptions!$C$87)/Assumptions!$C$86</f>
        <v>109.249765227437</v>
      </c>
      <c r="D39" s="17" t="n">
        <f aca="false">Capex!$C$21*(1-Assumptions!$C$87)/Assumptions!$C$86</f>
        <v>109.249765227437</v>
      </c>
      <c r="E39" s="17" t="n">
        <f aca="false">Capex!$C$21*(1-Assumptions!$C$87)/Assumptions!$C$86</f>
        <v>109.249765227437</v>
      </c>
      <c r="F39" s="17" t="n">
        <f aca="false">Capex!$C$21*(1-Assumptions!$C$87)/Assumptions!$C$86</f>
        <v>109.249765227437</v>
      </c>
      <c r="G39" s="17" t="n">
        <f aca="false">Capex!$C$21*(1-Assumptions!$C$87)/Assumptions!$C$86</f>
        <v>109.249765227437</v>
      </c>
      <c r="H39" s="17" t="n">
        <f aca="false">Capex!$C$21*(1-Assumptions!$C$87)/Assumptions!$C$86</f>
        <v>109.249765227437</v>
      </c>
      <c r="I39" s="17" t="n">
        <f aca="false">Capex!$C$21*(1-Assumptions!$C$87)/Assumptions!$C$86</f>
        <v>109.249765227437</v>
      </c>
      <c r="J39" s="17" t="n">
        <f aca="false">Capex!$C$21*(1-Assumptions!$C$87)/Assumptions!$C$86</f>
        <v>109.249765227437</v>
      </c>
      <c r="K39" s="17" t="n">
        <f aca="false">Capex!$C$21*(1-Assumptions!$C$87)/Assumptions!$C$86</f>
        <v>109.249765227437</v>
      </c>
      <c r="L39" s="17" t="n">
        <f aca="false">Capex!$C$21*(1-Assumptions!$C$87)/Assumptions!$C$86</f>
        <v>109.249765227437</v>
      </c>
      <c r="M39" s="17" t="n">
        <f aca="false">Capex!$C$21*(1-Assumptions!$C$87)/Assumptions!$C$86+Capex!$C$28*(1-Assumptions!$C$87)/(25-Assumptions!$C$90+1)</f>
        <v>134.899765227437</v>
      </c>
      <c r="N39" s="17" t="n">
        <f aca="false">Capex!$C$21*(1-Assumptions!$C$87)/Assumptions!$C$86+Capex!$C$28*(1-Assumptions!$C$87)/(25-Assumptions!$C$90+1)</f>
        <v>134.899765227437</v>
      </c>
      <c r="O39" s="17" t="n">
        <f aca="false">Capex!$C$21*(1-Assumptions!$C$87)/Assumptions!$C$86+Capex!$C$28*(1-Assumptions!$C$87)/(25-Assumptions!$C$90+1)</f>
        <v>134.899765227437</v>
      </c>
      <c r="P39" s="17" t="n">
        <f aca="false">Capex!$C$21*(1-Assumptions!$C$87)/Assumptions!$C$86+Capex!$C$28*(1-Assumptions!$C$87)/(25-Assumptions!$C$90+1)</f>
        <v>134.899765227437</v>
      </c>
      <c r="Q39" s="17" t="n">
        <f aca="false">Capex!$C$21*(1-Assumptions!$C$87)/Assumptions!$C$86+Capex!$C$28*(1-Assumptions!$C$87)/(25-Assumptions!$C$90+1)</f>
        <v>134.899765227437</v>
      </c>
      <c r="R39" s="17" t="n">
        <f aca="false">Capex!$C$21*(1-Assumptions!$C$87)/Assumptions!$C$86+Capex!$C$28*(1-Assumptions!$C$87)/(25-Assumptions!$C$90+1)</f>
        <v>134.899765227437</v>
      </c>
      <c r="S39" s="17" t="n">
        <f aca="false">Capex!$C$21*(1-Assumptions!$C$87)/Assumptions!$C$86+Capex!$C$28*(1-Assumptions!$C$87)/(25-Assumptions!$C$90+1)</f>
        <v>134.899765227437</v>
      </c>
      <c r="T39" s="17" t="n">
        <f aca="false">Capex!$C$21*(1-Assumptions!$C$87)/Assumptions!$C$86+Capex!$C$28*(1-Assumptions!$C$87)/(25-Assumptions!$C$90+1)</f>
        <v>134.899765227437</v>
      </c>
      <c r="U39" s="17" t="n">
        <f aca="false">Capex!$C$21*(1-Assumptions!$C$87)/Assumptions!$C$86+Capex!$C$28*(1-Assumptions!$C$87)/(25-Assumptions!$C$90+1)</f>
        <v>134.899765227437</v>
      </c>
      <c r="V39" s="17" t="n">
        <f aca="false">Capex!$C$21*(1-Assumptions!$C$87)/Assumptions!$C$86+Capex!$C$28*(1-Assumptions!$C$87)/(25-Assumptions!$C$90+1)</f>
        <v>134.899765227437</v>
      </c>
      <c r="W39" s="17" t="n">
        <f aca="false">Capex!$C$21*(1-Assumptions!$C$87)/Assumptions!$C$86+Capex!$C$28*(1-Assumptions!$C$87)/(25-Assumptions!$C$90+1)</f>
        <v>134.899765227437</v>
      </c>
      <c r="X39" s="17" t="n">
        <f aca="false">Capex!$C$21*(1-Assumptions!$C$87)/Assumptions!$C$86+Capex!$C$28*(1-Assumptions!$C$87)/(25-Assumptions!$C$90+1)</f>
        <v>134.899765227437</v>
      </c>
      <c r="Y39" s="17" t="n">
        <f aca="false">Capex!$C$21*(1-Assumptions!$C$87)/Assumptions!$C$86+Capex!$C$28*(1-Assumptions!$C$87)/(25-Assumptions!$C$90+1)</f>
        <v>134.899765227437</v>
      </c>
      <c r="Z39" s="17" t="n">
        <f aca="false">Capex!$C$21*(1-Assumptions!$C$87)/Assumptions!$C$86+Capex!$C$28*(1-Assumptions!$C$87)/(25-Assumptions!$C$90+1)</f>
        <v>134.899765227437</v>
      </c>
      <c r="AA39" s="17" t="n">
        <f aca="false">Capex!$C$21*(1-Assumptions!$C$87)/Assumptions!$C$86+Capex!$C$28*(1-Assumptions!$C$87)/(25-Assumptions!$C$90+1)</f>
        <v>134.899765227437</v>
      </c>
    </row>
    <row r="40" customFormat="false" ht="15" hidden="false" customHeight="false" outlineLevel="0" collapsed="false">
      <c r="B40" s="5" t="s">
        <v>252</v>
      </c>
      <c r="C40" s="19" t="n">
        <f aca="false">C23-C39</f>
        <v>278.356757392309</v>
      </c>
      <c r="D40" s="19" t="n">
        <f aca="false">D23-D39</f>
        <v>276.80462607336</v>
      </c>
      <c r="E40" s="19" t="n">
        <f aca="false">E23-E39</f>
        <v>275.187971432934</v>
      </c>
      <c r="F40" s="19" t="n">
        <f aca="false">F23-F39</f>
        <v>273.504565662036</v>
      </c>
      <c r="G40" s="19" t="n">
        <f aca="false">G23-G39</f>
        <v>271.752107130201</v>
      </c>
      <c r="H40" s="19" t="n">
        <f aca="false">H23-H39</f>
        <v>269.928217938412</v>
      </c>
      <c r="I40" s="19" t="n">
        <f aca="false">I23-I39</f>
        <v>268.030441389919</v>
      </c>
      <c r="J40" s="19" t="n">
        <f aca="false">J23-J39</f>
        <v>266.056239376162</v>
      </c>
      <c r="K40" s="19" t="n">
        <f aca="false">K23-K39</f>
        <v>264.00298967493</v>
      </c>
      <c r="L40" s="19" t="n">
        <f aca="false">L23-L39</f>
        <v>261.867983157745</v>
      </c>
      <c r="M40" s="19" t="n">
        <f aca="false">M23-M39</f>
        <v>233.998420903405</v>
      </c>
      <c r="N40" s="19" t="n">
        <f aca="false">N23-N39</f>
        <v>231.691411214489</v>
      </c>
      <c r="O40" s="19" t="n">
        <f aca="false">O23-O39</f>
        <v>229.293966533503</v>
      </c>
      <c r="P40" s="19" t="n">
        <f aca="false">P23-P39</f>
        <v>226.803000255277</v>
      </c>
      <c r="Q40" s="19" t="n">
        <f aca="false">Q23-Q39</f>
        <v>224.215323432059</v>
      </c>
      <c r="R40" s="19" t="n">
        <f aca="false">R23-R39</f>
        <v>221.527641367654</v>
      </c>
      <c r="S40" s="19" t="n">
        <f aca="false">S23-S39</f>
        <v>218.736550096833</v>
      </c>
      <c r="T40" s="19" t="n">
        <f aca="false">T23-T39</f>
        <v>215.83853274609</v>
      </c>
      <c r="U40" s="19" t="n">
        <f aca="false">U23-U39</f>
        <v>212.829955771714</v>
      </c>
      <c r="V40" s="19" t="n">
        <f aca="false">V23-V39</f>
        <v>209.70706507097</v>
      </c>
      <c r="W40" s="19" t="n">
        <f aca="false">W23-W39</f>
        <v>206.465981962086</v>
      </c>
      <c r="X40" s="19" t="n">
        <f aca="false">X23-X39</f>
        <v>203.102699028537</v>
      </c>
      <c r="Y40" s="19" t="n">
        <f aca="false">Y23-Y39</f>
        <v>199.613075823023</v>
      </c>
      <c r="Z40" s="19" t="n">
        <f aca="false">Z23-Z39</f>
        <v>195.992834426318</v>
      </c>
      <c r="AA40" s="19" t="n">
        <f aca="false">AA23-AA39</f>
        <v>192.237554856063</v>
      </c>
    </row>
    <row r="41" customFormat="false" ht="15" hidden="false" customHeight="false" outlineLevel="0" collapsed="false">
      <c r="B41" s="5" t="s">
        <v>253</v>
      </c>
      <c r="C41" s="19" t="n">
        <f aca="false">C47</f>
        <v>188.671469553962</v>
      </c>
      <c r="D41" s="19" t="n">
        <f aca="false">D47</f>
        <v>186.590117421876</v>
      </c>
      <c r="E41" s="19" t="n">
        <f aca="false">E47</f>
        <v>180.06395560732</v>
      </c>
      <c r="F41" s="19" t="n">
        <f aca="false">F47</f>
        <v>173.062311483241</v>
      </c>
      <c r="G41" s="19" t="n">
        <f aca="false">G47</f>
        <v>165.547527026709</v>
      </c>
      <c r="H41" s="19" t="n">
        <f aca="false">H47</f>
        <v>157.478785261019</v>
      </c>
      <c r="I41" s="19" t="n">
        <f aca="false">I47</f>
        <v>148.811838359051</v>
      </c>
      <c r="J41" s="19" t="n">
        <f aca="false">J47</f>
        <v>139.498712105318</v>
      </c>
      <c r="K41" s="19" t="n">
        <f aca="false">K47</f>
        <v>129.487384653125</v>
      </c>
      <c r="L41" s="19" t="n">
        <f aca="false">L47</f>
        <v>118.721437332832</v>
      </c>
      <c r="M41" s="19" t="n">
        <f aca="false">M47</f>
        <v>107.139675071092</v>
      </c>
      <c r="N41" s="19" t="n">
        <f aca="false">N47</f>
        <v>94.6757137675531</v>
      </c>
      <c r="O41" s="19" t="n">
        <f aca="false">O47</f>
        <v>81.2575317435611</v>
      </c>
      <c r="P41" s="19" t="n">
        <f aca="false">P47</f>
        <v>66.8069821250968</v>
      </c>
      <c r="Q41" s="19" t="n">
        <f aca="false">Q47</f>
        <v>53.8772285733455</v>
      </c>
      <c r="R41" s="19" t="n">
        <f aca="false">R47</f>
        <v>41.4829148157523</v>
      </c>
      <c r="S41" s="19" t="n">
        <f aca="false">S47</f>
        <v>28.4315488655373</v>
      </c>
      <c r="T41" s="19" t="n">
        <f aca="false">T47</f>
        <v>14.6304181861137</v>
      </c>
      <c r="U41" s="19" t="n">
        <f aca="false">U47</f>
        <v>0</v>
      </c>
      <c r="V41" s="19" t="n">
        <f aca="false">V47</f>
        <v>0</v>
      </c>
      <c r="W41" s="19" t="n">
        <f aca="false">W47</f>
        <v>0</v>
      </c>
      <c r="X41" s="19" t="n">
        <f aca="false">X47</f>
        <v>0</v>
      </c>
      <c r="Y41" s="19" t="n">
        <f aca="false">Y47</f>
        <v>0</v>
      </c>
      <c r="Z41" s="19" t="n">
        <f aca="false">Z47</f>
        <v>0</v>
      </c>
      <c r="AA41" s="19" t="n">
        <f aca="false">AA47</f>
        <v>0</v>
      </c>
    </row>
    <row r="42" customFormat="false" ht="15" hidden="false" customHeight="false" outlineLevel="0" collapsed="false">
      <c r="B42" s="5" t="s">
        <v>254</v>
      </c>
      <c r="C42" s="19" t="n">
        <f aca="false">C40-C41</f>
        <v>89.6852878383471</v>
      </c>
      <c r="D42" s="19" t="n">
        <f aca="false">D40-D41</f>
        <v>90.2145086514837</v>
      </c>
      <c r="E42" s="19" t="n">
        <f aca="false">E40-E41</f>
        <v>95.1240158256144</v>
      </c>
      <c r="F42" s="19" t="n">
        <f aca="false">F40-F41</f>
        <v>100.442254178795</v>
      </c>
      <c r="G42" s="19" t="n">
        <f aca="false">G40-G41</f>
        <v>106.204580103492</v>
      </c>
      <c r="H42" s="19" t="n">
        <f aca="false">H40-H41</f>
        <v>112.449432677393</v>
      </c>
      <c r="I42" s="19" t="n">
        <f aca="false">I40-I41</f>
        <v>119.218603030868</v>
      </c>
      <c r="J42" s="19" t="n">
        <f aca="false">J40-J41</f>
        <v>126.557527270844</v>
      </c>
      <c r="K42" s="19" t="n">
        <f aca="false">K40-K41</f>
        <v>134.515605021805</v>
      </c>
      <c r="L42" s="19" t="n">
        <f aca="false">L40-L41</f>
        <v>143.146545824912</v>
      </c>
      <c r="M42" s="19" t="n">
        <f aca="false">M40-M41</f>
        <v>126.858745832313</v>
      </c>
      <c r="N42" s="19" t="n">
        <f aca="false">N40-N41</f>
        <v>137.015697446936</v>
      </c>
      <c r="O42" s="19" t="n">
        <f aca="false">O40-O41</f>
        <v>148.036434789942</v>
      </c>
      <c r="P42" s="19" t="n">
        <f aca="false">P40-P41</f>
        <v>159.996018130181</v>
      </c>
      <c r="Q42" s="19" t="n">
        <f aca="false">Q40-Q41</f>
        <v>170.338094858714</v>
      </c>
      <c r="R42" s="19" t="n">
        <f aca="false">R40-R41</f>
        <v>180.044726551902</v>
      </c>
      <c r="S42" s="19" t="n">
        <f aca="false">S40-S41</f>
        <v>190.305001231296</v>
      </c>
      <c r="T42" s="19" t="n">
        <f aca="false">T40-T41</f>
        <v>201.208114559977</v>
      </c>
      <c r="U42" s="19" t="n">
        <f aca="false">U40-U41</f>
        <v>212.829955771714</v>
      </c>
      <c r="V42" s="19" t="n">
        <f aca="false">V40-V41</f>
        <v>209.70706507097</v>
      </c>
      <c r="W42" s="19" t="n">
        <f aca="false">W40-W41</f>
        <v>206.465981962086</v>
      </c>
      <c r="X42" s="19" t="n">
        <f aca="false">X40-X41</f>
        <v>203.102699028537</v>
      </c>
      <c r="Y42" s="19" t="n">
        <f aca="false">Y40-Y41</f>
        <v>199.613075823023</v>
      </c>
      <c r="Z42" s="19" t="n">
        <f aca="false">Z40-Z41</f>
        <v>195.992834426318</v>
      </c>
      <c r="AA42" s="19" t="n">
        <f aca="false">AA40-AA41</f>
        <v>192.237554856063</v>
      </c>
    </row>
    <row r="43" customFormat="false" ht="15" hidden="false" customHeight="false" outlineLevel="0" collapsed="false">
      <c r="B43" s="18" t="s">
        <v>255</v>
      </c>
      <c r="C43" s="21" t="n">
        <f aca="false">C42-C35</f>
        <v>89.6852878383471</v>
      </c>
      <c r="D43" s="21" t="n">
        <f aca="false">D42-D35</f>
        <v>90.2145086514837</v>
      </c>
      <c r="E43" s="21" t="n">
        <f aca="false">E42-E35</f>
        <v>95.1240158256144</v>
      </c>
      <c r="F43" s="21" t="n">
        <f aca="false">F42-F35</f>
        <v>100.442254178795</v>
      </c>
      <c r="G43" s="21" t="n">
        <f aca="false">G42-G35</f>
        <v>106.204580103492</v>
      </c>
      <c r="H43" s="21" t="n">
        <f aca="false">H42-H35</f>
        <v>112.449432677393</v>
      </c>
      <c r="I43" s="21" t="n">
        <f aca="false">I42-I35</f>
        <v>119.218603030868</v>
      </c>
      <c r="J43" s="21" t="n">
        <f aca="false">J42-J35</f>
        <v>126.557527270844</v>
      </c>
      <c r="K43" s="21" t="n">
        <f aca="false">K42-K35</f>
        <v>134.515605021805</v>
      </c>
      <c r="L43" s="21" t="n">
        <f aca="false">L42-L35</f>
        <v>143.146545824912</v>
      </c>
      <c r="M43" s="21" t="n">
        <f aca="false">M42-M35</f>
        <v>126.858745832313</v>
      </c>
      <c r="N43" s="21" t="n">
        <f aca="false">N42-N35</f>
        <v>137.015697446936</v>
      </c>
      <c r="O43" s="21" t="n">
        <f aca="false">O42-O35</f>
        <v>148.036434789942</v>
      </c>
      <c r="P43" s="21" t="n">
        <f aca="false">P42-P35</f>
        <v>115.430555103925</v>
      </c>
      <c r="Q43" s="21" t="n">
        <f aca="false">Q42-Q35</f>
        <v>100.19832541758</v>
      </c>
      <c r="R43" s="21" t="n">
        <f aca="false">R42-R35</f>
        <v>105.367856728139</v>
      </c>
      <c r="S43" s="21" t="n">
        <f aca="false">S42-S35</f>
        <v>111.78934428537</v>
      </c>
      <c r="T43" s="21" t="n">
        <f aca="false">T42-T35</f>
        <v>119.194473336976</v>
      </c>
      <c r="U43" s="21" t="n">
        <f aca="false">U42-U35</f>
        <v>127.438996323836</v>
      </c>
      <c r="V43" s="21" t="n">
        <f aca="false">V42-V35</f>
        <v>124.830674817432</v>
      </c>
      <c r="W43" s="21" t="n">
        <f aca="false">W42-W35</f>
        <v>122.242467543057</v>
      </c>
      <c r="X43" s="21" t="n">
        <f aca="false">X42-X35</f>
        <v>119.627951680823</v>
      </c>
      <c r="Y43" s="21" t="n">
        <f aca="false">Y42-Y35</f>
        <v>116.957974457232</v>
      </c>
      <c r="Z43" s="21" t="n">
        <f aca="false">Z42-Z35</f>
        <v>114.213701983386</v>
      </c>
      <c r="AA43" s="21" t="n">
        <f aca="false">AA42-AA35</f>
        <v>111.382447116254</v>
      </c>
    </row>
    <row r="45" customFormat="false" ht="15" hidden="false" customHeight="false" outlineLevel="0" collapsed="false">
      <c r="B45" s="35" t="s">
        <v>256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customFormat="false" ht="15" hidden="false" customHeight="false" outlineLevel="0" collapsed="false">
      <c r="B46" s="5" t="s">
        <v>257</v>
      </c>
      <c r="C46" s="19" t="n">
        <f aca="false">Capex!$C$22</f>
        <v>2156.24536633099</v>
      </c>
      <c r="D46" s="19" t="n">
        <f aca="false">C51</f>
        <v>2132.45848482144</v>
      </c>
      <c r="E46" s="19" t="n">
        <f aca="false">D51</f>
        <v>2057.87377836937</v>
      </c>
      <c r="F46" s="19" t="n">
        <f aca="false">E51</f>
        <v>1977.8549883799</v>
      </c>
      <c r="G46" s="19" t="n">
        <f aca="false">F51</f>
        <v>1891.9717374481</v>
      </c>
      <c r="H46" s="19" t="n">
        <f aca="false">G51</f>
        <v>1799.75754584022</v>
      </c>
      <c r="I46" s="19" t="n">
        <f aca="false">H51</f>
        <v>1700.70672410344</v>
      </c>
      <c r="J46" s="19" t="n">
        <f aca="false">I51</f>
        <v>1594.27099548935</v>
      </c>
      <c r="K46" s="19" t="n">
        <f aca="false">J51</f>
        <v>1479.85582460714</v>
      </c>
      <c r="L46" s="19" t="n">
        <f aca="false">K51</f>
        <v>1356.81642666094</v>
      </c>
      <c r="M46" s="19" t="n">
        <f aca="false">L51</f>
        <v>1224.45342938391</v>
      </c>
      <c r="N46" s="19" t="n">
        <f aca="false">M51</f>
        <v>1082.00815734346</v>
      </c>
      <c r="O46" s="19" t="n">
        <f aca="false">N51</f>
        <v>928.657505640698</v>
      </c>
      <c r="P46" s="19" t="n">
        <f aca="false">O51</f>
        <v>763.508367143963</v>
      </c>
      <c r="Q46" s="19" t="n">
        <f aca="false">P51</f>
        <v>615.739755123949</v>
      </c>
      <c r="R46" s="19" t="n">
        <f aca="false">Q51</f>
        <v>474.090455037169</v>
      </c>
      <c r="S46" s="19" t="n">
        <f aca="false">R51</f>
        <v>324.931987034712</v>
      </c>
      <c r="T46" s="19" t="n">
        <f aca="false">S51</f>
        <v>167.204779269871</v>
      </c>
      <c r="U46" s="19" t="n">
        <f aca="false">T51</f>
        <v>0</v>
      </c>
      <c r="V46" s="19" t="n">
        <f aca="false">U51</f>
        <v>0</v>
      </c>
      <c r="W46" s="19" t="n">
        <f aca="false">V51</f>
        <v>0</v>
      </c>
      <c r="X46" s="19" t="n">
        <f aca="false">W51</f>
        <v>0</v>
      </c>
      <c r="Y46" s="19" t="n">
        <f aca="false">X51</f>
        <v>0</v>
      </c>
      <c r="Z46" s="19" t="n">
        <f aca="false">Y51</f>
        <v>0</v>
      </c>
      <c r="AA46" s="19" t="n">
        <f aca="false">Z51</f>
        <v>0</v>
      </c>
    </row>
    <row r="47" customFormat="false" ht="15" hidden="false" customHeight="false" outlineLevel="0" collapsed="false">
      <c r="B47" s="5" t="s">
        <v>147</v>
      </c>
      <c r="C47" s="17" t="n">
        <f aca="false">C46*Assumptions!$C$70</f>
        <v>188.671469553962</v>
      </c>
      <c r="D47" s="17" t="n">
        <f aca="false">D46*Assumptions!$C$70</f>
        <v>186.590117421876</v>
      </c>
      <c r="E47" s="17" t="n">
        <f aca="false">E46*Assumptions!$C$70</f>
        <v>180.06395560732</v>
      </c>
      <c r="F47" s="17" t="n">
        <f aca="false">F46*Assumptions!$C$70</f>
        <v>173.062311483241</v>
      </c>
      <c r="G47" s="17" t="n">
        <f aca="false">G46*Assumptions!$C$70</f>
        <v>165.547527026709</v>
      </c>
      <c r="H47" s="17" t="n">
        <f aca="false">H46*Assumptions!$C$70</f>
        <v>157.478785261019</v>
      </c>
      <c r="I47" s="17" t="n">
        <f aca="false">I46*Assumptions!$C$70</f>
        <v>148.811838359051</v>
      </c>
      <c r="J47" s="17" t="n">
        <f aca="false">J46*Assumptions!$C$70</f>
        <v>139.498712105318</v>
      </c>
      <c r="K47" s="17" t="n">
        <f aca="false">K46*Assumptions!$C$70</f>
        <v>129.487384653125</v>
      </c>
      <c r="L47" s="17" t="n">
        <f aca="false">L46*Assumptions!$C$70</f>
        <v>118.721437332832</v>
      </c>
      <c r="M47" s="17" t="n">
        <f aca="false">M46*Assumptions!$C$70</f>
        <v>107.139675071092</v>
      </c>
      <c r="N47" s="17" t="n">
        <f aca="false">N46*Assumptions!$C$70</f>
        <v>94.6757137675531</v>
      </c>
      <c r="O47" s="17" t="n">
        <f aca="false">O46*Assumptions!$C$70</f>
        <v>81.2575317435611</v>
      </c>
      <c r="P47" s="17" t="n">
        <f aca="false">P46*Assumptions!$C$70</f>
        <v>66.8069821250968</v>
      </c>
      <c r="Q47" s="17" t="n">
        <f aca="false">Q46*Assumptions!$C$70</f>
        <v>53.8772285733455</v>
      </c>
      <c r="R47" s="17" t="n">
        <f aca="false">R46*Assumptions!$C$70</f>
        <v>41.4829148157523</v>
      </c>
      <c r="S47" s="17" t="n">
        <f aca="false">S46*Assumptions!$C$70</f>
        <v>28.4315488655373</v>
      </c>
      <c r="T47" s="17" t="n">
        <f aca="false">T46*Assumptions!$C$70</f>
        <v>14.6304181861137</v>
      </c>
      <c r="U47" s="17" t="n">
        <f aca="false">U46*Assumptions!$C$70</f>
        <v>0</v>
      </c>
      <c r="V47" s="17" t="n">
        <f aca="false">V46*Assumptions!$C$70</f>
        <v>0</v>
      </c>
      <c r="W47" s="17" t="n">
        <f aca="false">W46*Assumptions!$C$70</f>
        <v>0</v>
      </c>
      <c r="X47" s="17" t="n">
        <f aca="false">X46*Assumptions!$C$70</f>
        <v>0</v>
      </c>
      <c r="Y47" s="17" t="n">
        <f aca="false">Y46*Assumptions!$C$70</f>
        <v>0</v>
      </c>
      <c r="Z47" s="17" t="n">
        <f aca="false">Z46*Assumptions!$C$70</f>
        <v>0</v>
      </c>
      <c r="AA47" s="17" t="n">
        <f aca="false">AA46*Assumptions!$C$70</f>
        <v>0</v>
      </c>
    </row>
    <row r="48" customFormat="false" ht="15" hidden="false" customHeight="false" outlineLevel="0" collapsed="false">
      <c r="B48" s="5" t="s">
        <v>258</v>
      </c>
      <c r="C48" s="17" t="n">
        <f aca="false">IF(C2&lt;=Assumptions!$C$71,C55/Assumptions!$C$72,0)</f>
        <v>212.458351063516</v>
      </c>
      <c r="D48" s="17" t="n">
        <f aca="false">IF(D2&lt;=Assumptions!$C$71,D55/Assumptions!$C$72,0)</f>
        <v>261.174823873949</v>
      </c>
      <c r="E48" s="17" t="n">
        <f aca="false">IF(E2&lt;=Assumptions!$C$71,E55/Assumptions!$C$72,0)</f>
        <v>260.082745596792</v>
      </c>
      <c r="F48" s="17" t="n">
        <f aca="false">IF(F2&lt;=Assumptions!$C$71,F55/Assumptions!$C$72,0)</f>
        <v>258.945562415034</v>
      </c>
      <c r="G48" s="17" t="n">
        <f aca="false">IF(G2&lt;=Assumptions!$C$71,G55/Assumptions!$C$72,0)</f>
        <v>257.761718634593</v>
      </c>
      <c r="H48" s="17" t="n">
        <f aca="false">IF(H2&lt;=Assumptions!$C$71,H55/Assumptions!$C$72,0)</f>
        <v>256.529606997802</v>
      </c>
      <c r="I48" s="17" t="n">
        <f aca="false">IF(I2&lt;=Assumptions!$C$71,I55/Assumptions!$C$72,0)</f>
        <v>255.247566973135</v>
      </c>
      <c r="J48" s="17" t="n">
        <f aca="false">IF(J2&lt;=Assumptions!$C$71,J55/Assumptions!$C$72,0)</f>
        <v>253.913882987527</v>
      </c>
      <c r="K48" s="17" t="n">
        <f aca="false">IF(K2&lt;=Assumptions!$C$71,K55/Assumptions!$C$72,0)</f>
        <v>252.526782599326</v>
      </c>
      <c r="L48" s="17" t="n">
        <f aca="false">IF(L2&lt;=Assumptions!$C$71,L55/Assumptions!$C$72,0)</f>
        <v>251.084434609861</v>
      </c>
      <c r="M48" s="17" t="n">
        <f aca="false">IF(M2&lt;=Assumptions!$C$71,M55/Assumptions!$C$72,0)</f>
        <v>249.584947111541</v>
      </c>
      <c r="N48" s="17" t="n">
        <f aca="false">IF(N2&lt;=Assumptions!$C$71,N55/Assumptions!$C$72,0)</f>
        <v>248.02636547032</v>
      </c>
      <c r="O48" s="17" t="n">
        <f aca="false">IF(O2&lt;=Assumptions!$C$71,O55/Assumptions!$C$72,0)</f>
        <v>246.406670240296</v>
      </c>
      <c r="P48" s="17" t="n">
        <f aca="false">IF(P2&lt;=Assumptions!$C$71,P55/Assumptions!$C$72,0)</f>
        <v>214.575594145111</v>
      </c>
      <c r="Q48" s="17" t="n">
        <f aca="false">IF(Q2&lt;=Assumptions!$C$71,Q55/Assumptions!$C$72,0)</f>
        <v>195.526528660125</v>
      </c>
      <c r="R48" s="17" t="n">
        <f aca="false">IF(R2&lt;=Assumptions!$C$71,R55/Assumptions!$C$72,0)</f>
        <v>190.64138281821</v>
      </c>
      <c r="S48" s="17" t="n">
        <f aca="false">IF(S2&lt;=Assumptions!$C$71,S55/Assumptions!$C$72,0)</f>
        <v>186.158756630378</v>
      </c>
      <c r="T48" s="17" t="n">
        <f aca="false">IF(T2&lt;=Assumptions!$C$71,T55/Assumptions!$C$72,0)</f>
        <v>181.834419819661</v>
      </c>
      <c r="U48" s="17" t="n">
        <f aca="false">IF(U2&lt;=Assumptions!$C$71,U55/Assumptions!$C$72,0)</f>
        <v>0</v>
      </c>
      <c r="V48" s="17" t="n">
        <f aca="false">IF(V2&lt;=Assumptions!$C$71,V55/Assumptions!$C$72,0)</f>
        <v>0</v>
      </c>
      <c r="W48" s="17" t="n">
        <f aca="false">IF(W2&lt;=Assumptions!$C$71,W55/Assumptions!$C$72,0)</f>
        <v>0</v>
      </c>
      <c r="X48" s="17" t="n">
        <f aca="false">IF(X2&lt;=Assumptions!$C$71,X55/Assumptions!$C$72,0)</f>
        <v>0</v>
      </c>
      <c r="Y48" s="17" t="n">
        <f aca="false">IF(Y2&lt;=Assumptions!$C$71,Y55/Assumptions!$C$72,0)</f>
        <v>0</v>
      </c>
      <c r="Z48" s="17" t="n">
        <f aca="false">IF(Z2&lt;=Assumptions!$C$71,Z55/Assumptions!$C$72,0)</f>
        <v>0</v>
      </c>
      <c r="AA48" s="17" t="n">
        <f aca="false">IF(AA2&lt;=Assumptions!$C$71,AA55/Assumptions!$C$72,0)</f>
        <v>0</v>
      </c>
    </row>
    <row r="49" customFormat="false" ht="15" hidden="false" customHeight="false" outlineLevel="0" collapsed="false">
      <c r="B49" s="5" t="s">
        <v>259</v>
      </c>
      <c r="C49" s="17" t="n">
        <f aca="false">IF(C2=Assumptions!$C$71,C46,MAX(0,MIN(C46,C48-C47)))</f>
        <v>23.7868815095536</v>
      </c>
      <c r="D49" s="17" t="n">
        <f aca="false">IF(D2=Assumptions!$C$71,D46,MAX(0,MIN(D46,D48-D47)))</f>
        <v>74.5847064520726</v>
      </c>
      <c r="E49" s="17" t="n">
        <f aca="false">IF(E2=Assumptions!$C$71,E46,MAX(0,MIN(E46,E48-E47)))</f>
        <v>80.0187899894719</v>
      </c>
      <c r="F49" s="17" t="n">
        <f aca="false">IF(F2=Assumptions!$C$71,F46,MAX(0,MIN(F46,F48-F47)))</f>
        <v>85.8832509317927</v>
      </c>
      <c r="G49" s="17" t="n">
        <f aca="false">IF(G2=Assumptions!$C$71,G46,MAX(0,MIN(G46,G48-G47)))</f>
        <v>92.2141916078842</v>
      </c>
      <c r="H49" s="17" t="n">
        <f aca="false">IF(H2=Assumptions!$C$71,H46,MAX(0,MIN(H46,H48-H47)))</f>
        <v>99.0508217367829</v>
      </c>
      <c r="I49" s="17" t="n">
        <f aca="false">IF(I2=Assumptions!$C$71,I46,MAX(0,MIN(I46,I48-I47)))</f>
        <v>106.435728614084</v>
      </c>
      <c r="J49" s="17" t="n">
        <f aca="false">IF(J2=Assumptions!$C$71,J46,MAX(0,MIN(J46,J48-J47)))</f>
        <v>114.415170882209</v>
      </c>
      <c r="K49" s="17" t="n">
        <f aca="false">IF(K2=Assumptions!$C$71,K46,MAX(0,MIN(K46,K48-K47)))</f>
        <v>123.039397946201</v>
      </c>
      <c r="L49" s="17" t="n">
        <f aca="false">IF(L2=Assumptions!$C$71,L46,MAX(0,MIN(L46,L48-L47)))</f>
        <v>132.362997277029</v>
      </c>
      <c r="M49" s="17" t="n">
        <f aca="false">IF(M2=Assumptions!$C$71,M46,MAX(0,MIN(M46,M48-M47)))</f>
        <v>142.445272040448</v>
      </c>
      <c r="N49" s="17" t="n">
        <f aca="false">IF(N2=Assumptions!$C$71,N46,MAX(0,MIN(N46,N48-N47)))</f>
        <v>153.350651702766</v>
      </c>
      <c r="O49" s="17" t="n">
        <f aca="false">IF(O2=Assumptions!$C$71,O46,MAX(0,MIN(O46,O48-O47)))</f>
        <v>165.149138496735</v>
      </c>
      <c r="P49" s="17" t="n">
        <f aca="false">IF(P2=Assumptions!$C$71,P46,MAX(0,MIN(P46,P48-P47)))</f>
        <v>147.768612020015</v>
      </c>
      <c r="Q49" s="17" t="n">
        <f aca="false">IF(Q2=Assumptions!$C$71,Q46,MAX(0,MIN(Q46,Q48-Q47)))</f>
        <v>141.649300086779</v>
      </c>
      <c r="R49" s="17" t="n">
        <f aca="false">IF(R2=Assumptions!$C$71,R46,MAX(0,MIN(R46,R48-R47)))</f>
        <v>149.158468002458</v>
      </c>
      <c r="S49" s="17" t="n">
        <f aca="false">IF(S2=Assumptions!$C$71,S46,MAX(0,MIN(S46,S48-S47)))</f>
        <v>157.727207764841</v>
      </c>
      <c r="T49" s="17" t="n">
        <f aca="false">IF(T2=Assumptions!$C$71,T46,MAX(0,MIN(T46,T48-T47)))</f>
        <v>167.204779269871</v>
      </c>
      <c r="U49" s="17" t="n">
        <f aca="false">IF(U2=Assumptions!$C$71,U46,MAX(0,MIN(U46,U48-U47)))</f>
        <v>0</v>
      </c>
      <c r="V49" s="17" t="n">
        <f aca="false">IF(V2=Assumptions!$C$71,V46,MAX(0,MIN(V46,V48-V47)))</f>
        <v>0</v>
      </c>
      <c r="W49" s="17" t="n">
        <f aca="false">IF(W2=Assumptions!$C$71,W46,MAX(0,MIN(W46,W48-W47)))</f>
        <v>0</v>
      </c>
      <c r="X49" s="17" t="n">
        <f aca="false">IF(X2=Assumptions!$C$71,X46,MAX(0,MIN(X46,X48-X47)))</f>
        <v>0</v>
      </c>
      <c r="Y49" s="17" t="n">
        <f aca="false">IF(Y2=Assumptions!$C$71,Y46,MAX(0,MIN(Y46,Y48-Y47)))</f>
        <v>0</v>
      </c>
      <c r="Z49" s="17" t="n">
        <f aca="false">IF(Z2=Assumptions!$C$71,Z46,MAX(0,MIN(Z46,Z48-Z47)))</f>
        <v>0</v>
      </c>
      <c r="AA49" s="17" t="n">
        <f aca="false">IF(AA2=Assumptions!$C$71,AA46,MAX(0,MIN(AA46,AA48-AA47)))</f>
        <v>0</v>
      </c>
    </row>
    <row r="50" customFormat="false" ht="15" hidden="false" customHeight="false" outlineLevel="0" collapsed="false">
      <c r="B50" s="18" t="s">
        <v>260</v>
      </c>
      <c r="C50" s="21" t="n">
        <f aca="false">IF(C46&gt;0.000001,C47+C49,0)</f>
        <v>212.458351063516</v>
      </c>
      <c r="D50" s="21" t="n">
        <f aca="false">IF(D46&gt;0.000001,D47+D49,0)</f>
        <v>261.174823873949</v>
      </c>
      <c r="E50" s="21" t="n">
        <f aca="false">IF(E46&gt;0.000001,E47+E49,0)</f>
        <v>260.082745596792</v>
      </c>
      <c r="F50" s="21" t="n">
        <f aca="false">IF(F46&gt;0.000001,F47+F49,0)</f>
        <v>258.945562415034</v>
      </c>
      <c r="G50" s="21" t="n">
        <f aca="false">IF(G46&gt;0.000001,G47+G49,0)</f>
        <v>257.761718634593</v>
      </c>
      <c r="H50" s="21" t="n">
        <f aca="false">IF(H46&gt;0.000001,H47+H49,0)</f>
        <v>256.529606997802</v>
      </c>
      <c r="I50" s="21" t="n">
        <f aca="false">IF(I46&gt;0.000001,I47+I49,0)</f>
        <v>255.247566973135</v>
      </c>
      <c r="J50" s="21" t="n">
        <f aca="false">IF(J46&gt;0.000001,J47+J49,0)</f>
        <v>253.913882987527</v>
      </c>
      <c r="K50" s="21" t="n">
        <f aca="false">IF(K46&gt;0.000001,K47+K49,0)</f>
        <v>252.526782599326</v>
      </c>
      <c r="L50" s="21" t="n">
        <f aca="false">IF(L46&gt;0.000001,L47+L49,0)</f>
        <v>251.084434609861</v>
      </c>
      <c r="M50" s="21" t="n">
        <f aca="false">IF(M46&gt;0.000001,M47+M49,0)</f>
        <v>249.584947111541</v>
      </c>
      <c r="N50" s="21" t="n">
        <f aca="false">IF(N46&gt;0.000001,N47+N49,0)</f>
        <v>248.02636547032</v>
      </c>
      <c r="O50" s="21" t="n">
        <f aca="false">IF(O46&gt;0.000001,O47+O49,0)</f>
        <v>246.406670240296</v>
      </c>
      <c r="P50" s="21" t="n">
        <f aca="false">IF(P46&gt;0.000001,P47+P49,0)</f>
        <v>214.575594145111</v>
      </c>
      <c r="Q50" s="21" t="n">
        <f aca="false">IF(Q46&gt;0.000001,Q47+Q49,0)</f>
        <v>195.526528660125</v>
      </c>
      <c r="R50" s="21" t="n">
        <f aca="false">IF(R46&gt;0.000001,R47+R49,0)</f>
        <v>190.64138281821</v>
      </c>
      <c r="S50" s="21" t="n">
        <f aca="false">IF(S46&gt;0.000001,S47+S49,0)</f>
        <v>186.158756630378</v>
      </c>
      <c r="T50" s="21" t="n">
        <f aca="false">IF(T46&gt;0.000001,T47+T49,0)</f>
        <v>181.835197455984</v>
      </c>
      <c r="U50" s="21" t="n">
        <f aca="false">IF(U46&gt;0.000001,U47+U49,0)</f>
        <v>0</v>
      </c>
      <c r="V50" s="21" t="n">
        <f aca="false">IF(V46&gt;0.000001,V47+V49,0)</f>
        <v>0</v>
      </c>
      <c r="W50" s="21" t="n">
        <f aca="false">IF(W46&gt;0.000001,W47+W49,0)</f>
        <v>0</v>
      </c>
      <c r="X50" s="21" t="n">
        <f aca="false">IF(X46&gt;0.000001,X47+X49,0)</f>
        <v>0</v>
      </c>
      <c r="Y50" s="21" t="n">
        <f aca="false">IF(Y46&gt;0.000001,Y47+Y49,0)</f>
        <v>0</v>
      </c>
      <c r="Z50" s="21" t="n">
        <f aca="false">IF(Z46&gt;0.000001,Z47+Z49,0)</f>
        <v>0</v>
      </c>
      <c r="AA50" s="21" t="n">
        <f aca="false">IF(AA46&gt;0.000001,AA47+AA49,0)</f>
        <v>0</v>
      </c>
    </row>
    <row r="51" customFormat="false" ht="15" hidden="false" customHeight="false" outlineLevel="0" collapsed="false">
      <c r="B51" s="5" t="s">
        <v>261</v>
      </c>
      <c r="C51" s="19" t="n">
        <f aca="false">C46-C49</f>
        <v>2132.45848482144</v>
      </c>
      <c r="D51" s="19" t="n">
        <f aca="false">D46-D49</f>
        <v>2057.87377836937</v>
      </c>
      <c r="E51" s="19" t="n">
        <f aca="false">E46-E49</f>
        <v>1977.8549883799</v>
      </c>
      <c r="F51" s="19" t="n">
        <f aca="false">F46-F49</f>
        <v>1891.9717374481</v>
      </c>
      <c r="G51" s="19" t="n">
        <f aca="false">G46-G49</f>
        <v>1799.75754584022</v>
      </c>
      <c r="H51" s="19" t="n">
        <f aca="false">H46-H49</f>
        <v>1700.70672410344</v>
      </c>
      <c r="I51" s="19" t="n">
        <f aca="false">I46-I49</f>
        <v>1594.27099548935</v>
      </c>
      <c r="J51" s="19" t="n">
        <f aca="false">J46-J49</f>
        <v>1479.85582460714</v>
      </c>
      <c r="K51" s="19" t="n">
        <f aca="false">K46-K49</f>
        <v>1356.81642666094</v>
      </c>
      <c r="L51" s="19" t="n">
        <f aca="false">L46-L49</f>
        <v>1224.45342938391</v>
      </c>
      <c r="M51" s="19" t="n">
        <f aca="false">M46-M49</f>
        <v>1082.00815734346</v>
      </c>
      <c r="N51" s="19" t="n">
        <f aca="false">N46-N49</f>
        <v>928.657505640698</v>
      </c>
      <c r="O51" s="19" t="n">
        <f aca="false">O46-O49</f>
        <v>763.508367143963</v>
      </c>
      <c r="P51" s="19" t="n">
        <f aca="false">P46-P49</f>
        <v>615.739755123949</v>
      </c>
      <c r="Q51" s="19" t="n">
        <f aca="false">Q46-Q49</f>
        <v>474.090455037169</v>
      </c>
      <c r="R51" s="19" t="n">
        <f aca="false">R46-R49</f>
        <v>324.931987034712</v>
      </c>
      <c r="S51" s="19" t="n">
        <f aca="false">S46-S49</f>
        <v>167.204779269871</v>
      </c>
      <c r="T51" s="19" t="n">
        <f aca="false">T46-T49</f>
        <v>0</v>
      </c>
      <c r="U51" s="19" t="n">
        <f aca="false">U46-U49</f>
        <v>0</v>
      </c>
      <c r="V51" s="19" t="n">
        <f aca="false">V46-V49</f>
        <v>0</v>
      </c>
      <c r="W51" s="19" t="n">
        <f aca="false">W46-W49</f>
        <v>0</v>
      </c>
      <c r="X51" s="19" t="n">
        <f aca="false">X46-X49</f>
        <v>0</v>
      </c>
      <c r="Y51" s="19" t="n">
        <f aca="false">Y46-Y49</f>
        <v>0</v>
      </c>
      <c r="Z51" s="19" t="n">
        <f aca="false">Z46-Z49</f>
        <v>0</v>
      </c>
      <c r="AA51" s="19" t="n">
        <f aca="false">AA46-AA49</f>
        <v>0</v>
      </c>
    </row>
    <row r="53" customFormat="false" ht="15" hidden="false" customHeight="false" outlineLevel="0" collapsed="false">
      <c r="B53" s="35" t="s">
        <v>262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customFormat="false" ht="15" hidden="false" customHeight="false" outlineLevel="0" collapsed="false">
      <c r="B54" s="5" t="s">
        <v>263</v>
      </c>
      <c r="C54" s="17" t="n">
        <f aca="false">MAX(C13,0)*Assumptions!$C$79/365</f>
        <v>73.5476136607424</v>
      </c>
      <c r="D54" s="17" t="n">
        <f aca="false">MAX(D13,0)*Assumptions!$C$79/365</f>
        <v>73.5297238635341</v>
      </c>
      <c r="E54" s="17" t="n">
        <f aca="false">MAX(E13,0)*Assumptions!$C$79/365</f>
        <v>73.5095048242896</v>
      </c>
      <c r="F54" s="17" t="n">
        <f aca="false">MAX(F13,0)*Assumptions!$C$79/365</f>
        <v>73.4868801139863</v>
      </c>
      <c r="G54" s="17" t="n">
        <f aca="false">MAX(G13,0)*Assumptions!$C$79/365</f>
        <v>73.4617713219079</v>
      </c>
      <c r="H54" s="17" t="n">
        <f aca="false">MAX(H13,0)*Assumptions!$C$79/365</f>
        <v>73.4340980091082</v>
      </c>
      <c r="I54" s="17" t="n">
        <f aca="false">MAX(I13,0)*Assumptions!$C$79/365</f>
        <v>73.4037776608378</v>
      </c>
      <c r="J54" s="17" t="n">
        <f aca="false">MAX(J13,0)*Assumptions!$C$79/365</f>
        <v>73.3707256379122</v>
      </c>
      <c r="K54" s="17" t="n">
        <f aca="false">MAX(K13,0)*Assumptions!$C$79/365</f>
        <v>73.334855126999</v>
      </c>
      <c r="L54" s="17" t="n">
        <f aca="false">MAX(L13,0)*Assumptions!$C$79/365</f>
        <v>73.2960770897996</v>
      </c>
      <c r="M54" s="17" t="n">
        <f aca="false">MAX(M13,0)*Assumptions!$C$79/365</f>
        <v>73.2543002111031</v>
      </c>
      <c r="N54" s="17" t="n">
        <f aca="false">MAX(N13,0)*Assumptions!$C$79/365</f>
        <v>73.2094308456864</v>
      </c>
      <c r="O54" s="17" t="n">
        <f aca="false">MAX(O13,0)*Assumptions!$C$79/365</f>
        <v>73.1613729640374</v>
      </c>
      <c r="P54" s="17" t="n">
        <f aca="false">MAX(P13,0)*Assumptions!$C$79/365</f>
        <v>73.110028096875</v>
      </c>
      <c r="Q54" s="17" t="n">
        <f aca="false">MAX(Q13,0)*Assumptions!$C$79/365</f>
        <v>73.0552952784399</v>
      </c>
      <c r="R54" s="17" t="n">
        <f aca="false">MAX(R13,0)*Assumptions!$C$79/365</f>
        <v>72.9970709885306</v>
      </c>
      <c r="S54" s="17" t="n">
        <f aca="false">MAX(S13,0)*Assumptions!$C$79/365</f>
        <v>72.9352490932567</v>
      </c>
      <c r="T54" s="17" t="n">
        <f aca="false">MAX(T13,0)*Assumptions!$C$79/365</f>
        <v>72.8697207844827</v>
      </c>
      <c r="U54" s="17" t="n">
        <f aca="false">MAX(U13,0)*Assumptions!$C$79/365</f>
        <v>72.8003745179341</v>
      </c>
      <c r="V54" s="17" t="n">
        <f aca="false">MAX(V13,0)*Assumptions!$C$79/365</f>
        <v>72.7270959499359</v>
      </c>
      <c r="W54" s="17" t="n">
        <f aca="false">MAX(W13,0)*Assumptions!$C$79/365</f>
        <v>72.6497678727566</v>
      </c>
      <c r="X54" s="17" t="n">
        <f aca="false">MAX(X13,0)*Assumptions!$C$79/365</f>
        <v>72.5682701485255</v>
      </c>
      <c r="Y54" s="17" t="n">
        <f aca="false">MAX(Y13,0)*Assumptions!$C$79/365</f>
        <v>72.4824796416932</v>
      </c>
      <c r="Z54" s="17" t="n">
        <f aca="false">MAX(Z13,0)*Assumptions!$C$79/365</f>
        <v>72.3922701500057</v>
      </c>
      <c r="AA54" s="17" t="n">
        <f aca="false">MAX(AA13,0)*Assumptions!$C$79/365</f>
        <v>72.2975123339578</v>
      </c>
    </row>
    <row r="55" customFormat="false" ht="15" hidden="false" customHeight="false" outlineLevel="0" collapsed="false">
      <c r="B55" s="18" t="s">
        <v>264</v>
      </c>
      <c r="C55" s="21" t="n">
        <f aca="false">C23-C35-C54</f>
        <v>314.058908959004</v>
      </c>
      <c r="D55" s="21" t="n">
        <f aca="false">D23-D35-(D54-C54)</f>
        <v>386.072281098005</v>
      </c>
      <c r="E55" s="21" t="n">
        <f aca="false">E23-E35-(E54-D54)</f>
        <v>384.457955699615</v>
      </c>
      <c r="F55" s="21" t="n">
        <f aca="false">F23-F35-(F54-E54)</f>
        <v>382.776955599776</v>
      </c>
      <c r="G55" s="21" t="n">
        <f aca="false">G23-G35-(G54-F54)</f>
        <v>381.026981149716</v>
      </c>
      <c r="H55" s="21" t="n">
        <f aca="false">H23-H35-(H54-G54)</f>
        <v>379.205656478649</v>
      </c>
      <c r="I55" s="21" t="n">
        <f aca="false">I23-I35-(I54-H54)</f>
        <v>377.310526965626</v>
      </c>
      <c r="J55" s="21" t="n">
        <f aca="false">J23-J35-(J54-I54)</f>
        <v>375.339056626525</v>
      </c>
      <c r="K55" s="21" t="n">
        <f aca="false">K23-K35-(K54-J54)</f>
        <v>373.28862541328</v>
      </c>
      <c r="L55" s="21" t="n">
        <f aca="false">L23-L35-(L54-K54)</f>
        <v>371.156526422381</v>
      </c>
      <c r="M55" s="21" t="n">
        <f aca="false">M23-M35-(M54-L54)</f>
        <v>368.939963009539</v>
      </c>
      <c r="N55" s="21" t="n">
        <f aca="false">N23-N35-(N54-M54)</f>
        <v>366.636045807343</v>
      </c>
      <c r="O55" s="21" t="n">
        <f aca="false">O23-O35-(O54-N54)</f>
        <v>364.241789642589</v>
      </c>
      <c r="P55" s="21" t="n">
        <f aca="false">P23-P35-(P54-O54)</f>
        <v>317.188647323622</v>
      </c>
      <c r="Q55" s="21" t="n">
        <f aca="false">Q23-Q35-(Q54-P54)</f>
        <v>289.030052036798</v>
      </c>
      <c r="R55" s="21" t="n">
        <f aca="false">R23-R35-(R54-Q54)</f>
        <v>281.808761061237</v>
      </c>
      <c r="S55" s="21" t="n">
        <f aca="false">S23-S35-(S54-R54)</f>
        <v>275.182480273618</v>
      </c>
      <c r="T55" s="21" t="n">
        <f aca="false">T23-T35-(T54-S54)</f>
        <v>268.790185059301</v>
      </c>
      <c r="U55" s="21" t="n">
        <f aca="false">U23-U35-(U54-T54)</f>
        <v>262.408107817822</v>
      </c>
      <c r="V55" s="21" t="n">
        <f aca="false">V23-V35-(V54-U54)</f>
        <v>259.803718612867</v>
      </c>
      <c r="W55" s="21" t="n">
        <f aca="false">W23-W35-(W54-V54)</f>
        <v>257.219560847673</v>
      </c>
      <c r="X55" s="21" t="n">
        <f aca="false">X23-X35-(X54-W54)</f>
        <v>254.609214632491</v>
      </c>
      <c r="Y55" s="21" t="n">
        <f aca="false">Y23-Y35-(Y54-X54)</f>
        <v>251.943530191502</v>
      </c>
      <c r="Z55" s="21" t="n">
        <f aca="false">Z23-Z35-(Z54-Y54)</f>
        <v>249.203676702511</v>
      </c>
      <c r="AA55" s="21" t="n">
        <f aca="false">AA23-AA35-(AA54-Z54)</f>
        <v>246.376970159739</v>
      </c>
    </row>
    <row r="56" customFormat="false" ht="15" hidden="false" customHeight="false" outlineLevel="0" collapsed="false">
      <c r="B56" s="5" t="s">
        <v>265</v>
      </c>
      <c r="C56" s="17" t="n">
        <f aca="false">IF(C2=Assumptions!$C$90,Capex!$C$28,0)</f>
        <v>0</v>
      </c>
      <c r="D56" s="17" t="n">
        <f aca="false">IF(D2=Assumptions!$C$90,Capex!$C$28,0)</f>
        <v>0</v>
      </c>
      <c r="E56" s="17" t="n">
        <f aca="false">IF(E2=Assumptions!$C$90,Capex!$C$28,0)</f>
        <v>0</v>
      </c>
      <c r="F56" s="17" t="n">
        <f aca="false">IF(F2=Assumptions!$C$90,Capex!$C$28,0)</f>
        <v>0</v>
      </c>
      <c r="G56" s="17" t="n">
        <f aca="false">IF(G2=Assumptions!$C$90,Capex!$C$28,0)</f>
        <v>0</v>
      </c>
      <c r="H56" s="17" t="n">
        <f aca="false">IF(H2=Assumptions!$C$90,Capex!$C$28,0)</f>
        <v>0</v>
      </c>
      <c r="I56" s="17" t="n">
        <f aca="false">IF(I2=Assumptions!$C$90,Capex!$C$28,0)</f>
        <v>0</v>
      </c>
      <c r="J56" s="17" t="n">
        <f aca="false">IF(J2=Assumptions!$C$90,Capex!$C$28,0)</f>
        <v>0</v>
      </c>
      <c r="K56" s="17" t="n">
        <f aca="false">IF(K2=Assumptions!$C$90,Capex!$C$28,0)</f>
        <v>0</v>
      </c>
      <c r="L56" s="17" t="n">
        <f aca="false">IF(L2=Assumptions!$C$90,Capex!$C$28,0)</f>
        <v>0</v>
      </c>
      <c r="M56" s="17" t="n">
        <f aca="false">IF(M2=Assumptions!$C$90,Capex!$C$28,0)</f>
        <v>405</v>
      </c>
      <c r="N56" s="17" t="n">
        <f aca="false">IF(N2=Assumptions!$C$90,Capex!$C$28,0)</f>
        <v>0</v>
      </c>
      <c r="O56" s="17" t="n">
        <f aca="false">IF(O2=Assumptions!$C$90,Capex!$C$28,0)</f>
        <v>0</v>
      </c>
      <c r="P56" s="17" t="n">
        <f aca="false">IF(P2=Assumptions!$C$90,Capex!$C$28,0)</f>
        <v>0</v>
      </c>
      <c r="Q56" s="17" t="n">
        <f aca="false">IF(Q2=Assumptions!$C$90,Capex!$C$28,0)</f>
        <v>0</v>
      </c>
      <c r="R56" s="17" t="n">
        <f aca="false">IF(R2=Assumptions!$C$90,Capex!$C$28,0)</f>
        <v>0</v>
      </c>
      <c r="S56" s="17" t="n">
        <f aca="false">IF(S2=Assumptions!$C$90,Capex!$C$28,0)</f>
        <v>0</v>
      </c>
      <c r="T56" s="17" t="n">
        <f aca="false">IF(T2=Assumptions!$C$90,Capex!$C$28,0)</f>
        <v>0</v>
      </c>
      <c r="U56" s="17" t="n">
        <f aca="false">IF(U2=Assumptions!$C$90,Capex!$C$28,0)</f>
        <v>0</v>
      </c>
      <c r="V56" s="17" t="n">
        <f aca="false">IF(V2=Assumptions!$C$90,Capex!$C$28,0)</f>
        <v>0</v>
      </c>
      <c r="W56" s="17" t="n">
        <f aca="false">IF(W2=Assumptions!$C$90,Capex!$C$28,0)</f>
        <v>0</v>
      </c>
      <c r="X56" s="17" t="n">
        <f aca="false">IF(X2=Assumptions!$C$90,Capex!$C$28,0)</f>
        <v>0</v>
      </c>
      <c r="Y56" s="17" t="n">
        <f aca="false">IF(Y2=Assumptions!$C$90,Capex!$C$28,0)</f>
        <v>0</v>
      </c>
      <c r="Z56" s="17" t="n">
        <f aca="false">IF(Z2=Assumptions!$C$90,Capex!$C$28,0)</f>
        <v>0</v>
      </c>
      <c r="AA56" s="17" t="n">
        <f aca="false">IF(AA2=Assumptions!$C$90,Capex!$C$28,0)</f>
        <v>0</v>
      </c>
    </row>
    <row r="57" customFormat="false" ht="15" hidden="false" customHeight="false" outlineLevel="0" collapsed="false">
      <c r="B57" s="18" t="s">
        <v>266</v>
      </c>
      <c r="C57" s="21" t="n">
        <f aca="false">C55-C50-C56</f>
        <v>101.600557895488</v>
      </c>
      <c r="D57" s="21" t="n">
        <f aca="false">D55-D50-D56</f>
        <v>124.897457224056</v>
      </c>
      <c r="E57" s="21" t="n">
        <f aca="false">E55-E50-E56</f>
        <v>124.375210102824</v>
      </c>
      <c r="F57" s="21" t="n">
        <f aca="false">F55-F50-F56</f>
        <v>123.831393184743</v>
      </c>
      <c r="G57" s="21" t="n">
        <f aca="false">G55-G50-G56</f>
        <v>123.265262515123</v>
      </c>
      <c r="H57" s="21" t="n">
        <f aca="false">H55-H50-H56</f>
        <v>122.676049480847</v>
      </c>
      <c r="I57" s="21" t="n">
        <f aca="false">I55-I50-I56</f>
        <v>122.062959992491</v>
      </c>
      <c r="J57" s="21" t="n">
        <f aca="false">J55-J50-J56</f>
        <v>121.425173638997</v>
      </c>
      <c r="K57" s="21" t="n">
        <f aca="false">K55-K50-K56</f>
        <v>120.761842813954</v>
      </c>
      <c r="L57" s="21" t="n">
        <f aca="false">L55-L50-L56</f>
        <v>120.07209181252</v>
      </c>
      <c r="M57" s="21" t="n">
        <f aca="false">M55-M50-M56</f>
        <v>-285.644984102002</v>
      </c>
      <c r="N57" s="21" t="n">
        <f aca="false">N55-N50-N56</f>
        <v>118.609680337023</v>
      </c>
      <c r="O57" s="21" t="n">
        <f aca="false">O55-O50-O56</f>
        <v>117.835119402293</v>
      </c>
      <c r="P57" s="21" t="n">
        <f aca="false">P55-P50-P56</f>
        <v>102.61305317851</v>
      </c>
      <c r="Q57" s="21" t="n">
        <f aca="false">Q55-Q50-Q56</f>
        <v>93.5035233766729</v>
      </c>
      <c r="R57" s="21" t="n">
        <f aca="false">R55-R50-R56</f>
        <v>91.1673782430274</v>
      </c>
      <c r="S57" s="21" t="n">
        <f aca="false">S55-S50-S56</f>
        <v>89.0237236432396</v>
      </c>
      <c r="T57" s="21" t="n">
        <f aca="false">T55-T50-T56</f>
        <v>86.9549876033166</v>
      </c>
      <c r="U57" s="21" t="n">
        <f aca="false">U55-U50-U56</f>
        <v>262.408107817822</v>
      </c>
      <c r="V57" s="21" t="n">
        <f aca="false">V55-V50-V56</f>
        <v>259.803718612867</v>
      </c>
      <c r="W57" s="21" t="n">
        <f aca="false">W55-W50-W56</f>
        <v>257.219560847673</v>
      </c>
      <c r="X57" s="21" t="n">
        <f aca="false">X55-X50-X56</f>
        <v>254.609214632491</v>
      </c>
      <c r="Y57" s="21" t="n">
        <f aca="false">Y55-Y50-Y56</f>
        <v>251.943530191502</v>
      </c>
      <c r="Z57" s="21" t="n">
        <f aca="false">Z55-Z50-Z56</f>
        <v>249.203676702511</v>
      </c>
      <c r="AA57" s="21" t="n">
        <f aca="false">AA55-AA50-AA56</f>
        <v>246.376970159739</v>
      </c>
    </row>
    <row r="58" customFormat="false" ht="15" hidden="false" customHeight="false" outlineLevel="0" collapsed="false">
      <c r="B58" s="5" t="s">
        <v>267</v>
      </c>
      <c r="C58" s="37" t="n">
        <f aca="false">IF(C50&gt;0.000001,C55/C50,"")</f>
        <v>1.478214</v>
      </c>
      <c r="D58" s="37" t="n">
        <f aca="false">IF(D50&gt;0.000001,D55/D50,"")</f>
        <v>1.478214</v>
      </c>
      <c r="E58" s="37" t="n">
        <f aca="false">IF(E50&gt;0.000001,E55/E50,"")</f>
        <v>1.478214</v>
      </c>
      <c r="F58" s="37" t="n">
        <f aca="false">IF(F50&gt;0.000001,F55/F50,"")</f>
        <v>1.478214</v>
      </c>
      <c r="G58" s="37" t="n">
        <f aca="false">IF(G50&gt;0.000001,G55/G50,"")</f>
        <v>1.478214</v>
      </c>
      <c r="H58" s="37" t="n">
        <f aca="false">IF(H50&gt;0.000001,H55/H50,"")</f>
        <v>1.478214</v>
      </c>
      <c r="I58" s="37" t="n">
        <f aca="false">IF(I50&gt;0.000001,I55/I50,"")</f>
        <v>1.478214</v>
      </c>
      <c r="J58" s="37" t="n">
        <f aca="false">IF(J50&gt;0.000001,J55/J50,"")</f>
        <v>1.478214</v>
      </c>
      <c r="K58" s="37" t="n">
        <f aca="false">IF(K50&gt;0.000001,K55/K50,"")</f>
        <v>1.478214</v>
      </c>
      <c r="L58" s="37" t="n">
        <f aca="false">IF(L50&gt;0.000001,L55/L50,"")</f>
        <v>1.478214</v>
      </c>
      <c r="M58" s="37" t="n">
        <f aca="false">IF(M50&gt;0.000001,M55/M50,"")</f>
        <v>1.478214</v>
      </c>
      <c r="N58" s="37" t="n">
        <f aca="false">IF(N50&gt;0.000001,N55/N50,"")</f>
        <v>1.478214</v>
      </c>
      <c r="O58" s="37" t="n">
        <f aca="false">IF(O50&gt;0.000001,O55/O50,"")</f>
        <v>1.478214</v>
      </c>
      <c r="P58" s="37" t="n">
        <f aca="false">IF(P50&gt;0.000001,P55/P50,"")</f>
        <v>1.478214</v>
      </c>
      <c r="Q58" s="37" t="n">
        <f aca="false">IF(Q50&gt;0.000001,Q55/Q50,"")</f>
        <v>1.478214</v>
      </c>
      <c r="R58" s="37" t="n">
        <f aca="false">IF(R50&gt;0.000001,R55/R50,"")</f>
        <v>1.478214</v>
      </c>
      <c r="S58" s="37" t="n">
        <f aca="false">IF(S50&gt;0.000001,S55/S50,"")</f>
        <v>1.478214</v>
      </c>
      <c r="T58" s="37" t="n">
        <f aca="false">IF(T50&gt;0.000001,T55/T50,"")</f>
        <v>1.47820767827068</v>
      </c>
      <c r="U58" s="37" t="str">
        <f aca="false">IF(U50&gt;0.000001,U55/U50,"")</f>
        <v/>
      </c>
      <c r="V58" s="37" t="str">
        <f aca="false">IF(V50&gt;0.000001,V55/V50,"")</f>
        <v/>
      </c>
      <c r="W58" s="37" t="str">
        <f aca="false">IF(W50&gt;0.000001,W55/W50,"")</f>
        <v/>
      </c>
      <c r="X58" s="37" t="str">
        <f aca="false">IF(X50&gt;0.000001,X55/X50,"")</f>
        <v/>
      </c>
      <c r="Y58" s="37" t="str">
        <f aca="false">IF(Y50&gt;0.000001,Y55/Y50,"")</f>
        <v/>
      </c>
      <c r="Z58" s="37" t="str">
        <f aca="false">IF(Z50&gt;0.000001,Z55/Z50,"")</f>
        <v/>
      </c>
      <c r="AA58" s="37" t="str">
        <f aca="false">IF(AA50&gt;0.000001,AA55/AA50,"")</f>
        <v/>
      </c>
    </row>
    <row r="59" customFormat="false" ht="15" hidden="false" customHeight="false" outlineLevel="0" collapsed="false">
      <c r="B59" s="5" t="s">
        <v>268</v>
      </c>
      <c r="C59" s="37" t="n">
        <f aca="false">IF(C50&gt;0.000001,(C55-C56)/C50,"")</f>
        <v>1.478214</v>
      </c>
      <c r="D59" s="37" t="n">
        <f aca="false">IF(D50&gt;0.000001,(D55-D56)/D50,"")</f>
        <v>1.478214</v>
      </c>
      <c r="E59" s="37" t="n">
        <f aca="false">IF(E50&gt;0.000001,(E55-E56)/E50,"")</f>
        <v>1.478214</v>
      </c>
      <c r="F59" s="37" t="n">
        <f aca="false">IF(F50&gt;0.000001,(F55-F56)/F50,"")</f>
        <v>1.478214</v>
      </c>
      <c r="G59" s="37" t="n">
        <f aca="false">IF(G50&gt;0.000001,(G55-G56)/G50,"")</f>
        <v>1.478214</v>
      </c>
      <c r="H59" s="37" t="n">
        <f aca="false">IF(H50&gt;0.000001,(H55-H56)/H50,"")</f>
        <v>1.478214</v>
      </c>
      <c r="I59" s="37" t="n">
        <f aca="false">IF(I50&gt;0.000001,(I55-I56)/I50,"")</f>
        <v>1.478214</v>
      </c>
      <c r="J59" s="37" t="n">
        <f aca="false">IF(J50&gt;0.000001,(J55-J56)/J50,"")</f>
        <v>1.478214</v>
      </c>
      <c r="K59" s="37" t="n">
        <f aca="false">IF(K50&gt;0.000001,(K55-K56)/K50,"")</f>
        <v>1.478214</v>
      </c>
      <c r="L59" s="37" t="n">
        <f aca="false">IF(L50&gt;0.000001,(L55-L56)/L50,"")</f>
        <v>1.478214</v>
      </c>
      <c r="M59" s="37" t="n">
        <f aca="false">IF(M50&gt;0.000001,(M55-M56)/M50,"")</f>
        <v>-0.144480015352631</v>
      </c>
      <c r="N59" s="37" t="n">
        <f aca="false">IF(N50&gt;0.000001,(N55-N56)/N50,"")</f>
        <v>1.478214</v>
      </c>
      <c r="O59" s="37" t="n">
        <f aca="false">IF(O50&gt;0.000001,(O55-O56)/O50,"")</f>
        <v>1.478214</v>
      </c>
      <c r="P59" s="37" t="n">
        <f aca="false">IF(P50&gt;0.000001,(P55-P56)/P50,"")</f>
        <v>1.478214</v>
      </c>
      <c r="Q59" s="37" t="n">
        <f aca="false">IF(Q50&gt;0.000001,(Q55-Q56)/Q50,"")</f>
        <v>1.478214</v>
      </c>
      <c r="R59" s="37" t="n">
        <f aca="false">IF(R50&gt;0.000001,(R55-R56)/R50,"")</f>
        <v>1.478214</v>
      </c>
      <c r="S59" s="37" t="n">
        <f aca="false">IF(S50&gt;0.000001,(S55-S56)/S50,"")</f>
        <v>1.478214</v>
      </c>
      <c r="T59" s="37" t="n">
        <f aca="false">IF(T50&gt;0.000001,(T55-T56)/T50,"")</f>
        <v>1.47820767827068</v>
      </c>
      <c r="U59" s="37" t="str">
        <f aca="false">IF(U50&gt;0.000001,(U55-U56)/U50,"")</f>
        <v/>
      </c>
      <c r="V59" s="37" t="str">
        <f aca="false">IF(V50&gt;0.000001,(V55-V56)/V50,"")</f>
        <v/>
      </c>
      <c r="W59" s="37" t="str">
        <f aca="false">IF(W50&gt;0.000001,(W55-W56)/W50,"")</f>
        <v/>
      </c>
      <c r="X59" s="37" t="str">
        <f aca="false">IF(X50&gt;0.000001,(X55-X56)/X50,"")</f>
        <v/>
      </c>
      <c r="Y59" s="37" t="str">
        <f aca="false">IF(Y50&gt;0.000001,(Y55-Y56)/Y50,"")</f>
        <v/>
      </c>
      <c r="Z59" s="37" t="str">
        <f aca="false">IF(Z50&gt;0.000001,(Z55-Z56)/Z50,"")</f>
        <v/>
      </c>
      <c r="AA59" s="37" t="str">
        <f aca="false">IF(AA50&gt;0.000001,(AA55-AA56)/AA50,"")</f>
        <v/>
      </c>
    </row>
    <row r="61" customFormat="false" ht="15" hidden="false" customHeight="false" outlineLevel="0" collapsed="false">
      <c r="B61" s="35" t="s">
        <v>269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customFormat="false" ht="15" hidden="false" customHeight="false" outlineLevel="0" collapsed="false">
      <c r="B62" s="5" t="s">
        <v>270</v>
      </c>
      <c r="C62" s="17" t="n">
        <f aca="false">-Capex!$C$23*Assumptions!$C$74</f>
        <v>-323.436804949649</v>
      </c>
      <c r="D62" s="17" t="n">
        <f aca="false">-Capex!$C$23*Assumptions!$C$75</f>
        <v>-395.311650494015</v>
      </c>
      <c r="E62" s="19" t="n">
        <f aca="false">C57</f>
        <v>101.600557895488</v>
      </c>
      <c r="F62" s="19" t="n">
        <f aca="false">D57</f>
        <v>124.897457224056</v>
      </c>
      <c r="G62" s="19" t="n">
        <f aca="false">E57</f>
        <v>124.375210102824</v>
      </c>
      <c r="H62" s="19" t="n">
        <f aca="false">F57</f>
        <v>123.831393184743</v>
      </c>
      <c r="I62" s="19" t="n">
        <f aca="false">G57</f>
        <v>123.265262515123</v>
      </c>
      <c r="J62" s="19" t="n">
        <f aca="false">H57</f>
        <v>122.676049480847</v>
      </c>
      <c r="K62" s="19" t="n">
        <f aca="false">I57</f>
        <v>122.062959992491</v>
      </c>
      <c r="L62" s="19" t="n">
        <f aca="false">J57</f>
        <v>121.425173638997</v>
      </c>
      <c r="M62" s="19" t="n">
        <f aca="false">K57</f>
        <v>120.761842813954</v>
      </c>
      <c r="N62" s="19" t="n">
        <f aca="false">L57</f>
        <v>120.07209181252</v>
      </c>
      <c r="O62" s="19" t="n">
        <f aca="false">M57</f>
        <v>-285.644984102002</v>
      </c>
      <c r="P62" s="19" t="n">
        <f aca="false">N57</f>
        <v>118.609680337023</v>
      </c>
      <c r="Q62" s="19" t="n">
        <f aca="false">O57</f>
        <v>117.835119402293</v>
      </c>
      <c r="R62" s="19" t="n">
        <f aca="false">P57</f>
        <v>102.61305317851</v>
      </c>
      <c r="S62" s="19" t="n">
        <f aca="false">Q57</f>
        <v>93.5035233766729</v>
      </c>
      <c r="T62" s="19" t="n">
        <f aca="false">R57</f>
        <v>91.1673782430274</v>
      </c>
      <c r="U62" s="19" t="n">
        <f aca="false">S57</f>
        <v>89.0237236432396</v>
      </c>
      <c r="V62" s="19" t="n">
        <f aca="false">T57</f>
        <v>86.9549876033166</v>
      </c>
      <c r="W62" s="19" t="n">
        <f aca="false">U57</f>
        <v>262.408107817822</v>
      </c>
      <c r="X62" s="19" t="n">
        <f aca="false">V57</f>
        <v>259.803718612867</v>
      </c>
      <c r="Y62" s="19" t="n">
        <f aca="false">W57</f>
        <v>257.219560847673</v>
      </c>
      <c r="Z62" s="19" t="n">
        <f aca="false">X57</f>
        <v>254.609214632491</v>
      </c>
      <c r="AA62" s="19" t="n">
        <f aca="false">Y57</f>
        <v>251.943530191502</v>
      </c>
      <c r="AB62" s="19" t="n">
        <f aca="false">Z57</f>
        <v>249.203676702511</v>
      </c>
      <c r="AC62" s="19" t="n">
        <f aca="false">AA57</f>
        <v>246.376970159739</v>
      </c>
    </row>
    <row r="63" customFormat="false" ht="15" hidden="false" customHeight="false" outlineLevel="0" collapsed="false">
      <c r="B63" s="5" t="s">
        <v>271</v>
      </c>
      <c r="C63" s="17" t="n">
        <f aca="false">-Capex!$C$21*Assumptions!$C$74</f>
        <v>-1293.7472197986</v>
      </c>
      <c r="D63" s="17" t="n">
        <f aca="false">-Capex!$C$21*Assumptions!$C$75</f>
        <v>-1581.24660197606</v>
      </c>
      <c r="E63" s="19" t="n">
        <f aca="false">C55-C56</f>
        <v>314.058908959004</v>
      </c>
      <c r="F63" s="19" t="n">
        <f aca="false">D55-D56</f>
        <v>386.072281098005</v>
      </c>
      <c r="G63" s="19" t="n">
        <f aca="false">E55-E56</f>
        <v>384.457955699615</v>
      </c>
      <c r="H63" s="19" t="n">
        <f aca="false">F55-F56</f>
        <v>382.776955599776</v>
      </c>
      <c r="I63" s="19" t="n">
        <f aca="false">G55-G56</f>
        <v>381.026981149716</v>
      </c>
      <c r="J63" s="19" t="n">
        <f aca="false">H55-H56</f>
        <v>379.205656478649</v>
      </c>
      <c r="K63" s="19" t="n">
        <f aca="false">I55-I56</f>
        <v>377.310526965626</v>
      </c>
      <c r="L63" s="19" t="n">
        <f aca="false">J55-J56</f>
        <v>375.339056626525</v>
      </c>
      <c r="M63" s="19" t="n">
        <f aca="false">K55-K56</f>
        <v>373.28862541328</v>
      </c>
      <c r="N63" s="19" t="n">
        <f aca="false">L55-L56</f>
        <v>371.156526422381</v>
      </c>
      <c r="O63" s="19" t="n">
        <f aca="false">M55-M56</f>
        <v>-36.0600369904611</v>
      </c>
      <c r="P63" s="19" t="n">
        <f aca="false">N55-N56</f>
        <v>366.636045807343</v>
      </c>
      <c r="Q63" s="19" t="n">
        <f aca="false">O55-O56</f>
        <v>364.241789642589</v>
      </c>
      <c r="R63" s="19" t="n">
        <f aca="false">P55-P56</f>
        <v>317.188647323622</v>
      </c>
      <c r="S63" s="19" t="n">
        <f aca="false">Q55-Q56</f>
        <v>289.030052036798</v>
      </c>
      <c r="T63" s="19" t="n">
        <f aca="false">R55-R56</f>
        <v>281.808761061237</v>
      </c>
      <c r="U63" s="19" t="n">
        <f aca="false">S55-S56</f>
        <v>275.182480273618</v>
      </c>
      <c r="V63" s="19" t="n">
        <f aca="false">T55-T56</f>
        <v>268.790185059301</v>
      </c>
      <c r="W63" s="19" t="n">
        <f aca="false">U55-U56</f>
        <v>262.408107817822</v>
      </c>
      <c r="X63" s="19" t="n">
        <f aca="false">V55-V56</f>
        <v>259.803718612867</v>
      </c>
      <c r="Y63" s="19" t="n">
        <f aca="false">W55-W56</f>
        <v>257.219560847673</v>
      </c>
      <c r="Z63" s="19" t="n">
        <f aca="false">X55-X56</f>
        <v>254.609214632491</v>
      </c>
      <c r="AA63" s="19" t="n">
        <f aca="false">Y55-Y56</f>
        <v>251.943530191502</v>
      </c>
      <c r="AB63" s="19" t="n">
        <f aca="false">Z55-Z56</f>
        <v>249.203676702511</v>
      </c>
      <c r="AC63" s="19" t="n">
        <f aca="false">AA55-AA56</f>
        <v>246.376970159739</v>
      </c>
    </row>
    <row r="65" customFormat="false" ht="15" hidden="false" customHeight="false" outlineLevel="0" collapsed="false">
      <c r="B65" s="35" t="s">
        <v>272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customFormat="false" ht="15" hidden="false" customHeight="false" outlineLevel="0" collapsed="false">
      <c r="B66" s="5" t="s">
        <v>273</v>
      </c>
      <c r="C66" s="36" t="n">
        <f aca="false">Assumptions!$C$16</f>
        <v>5.9113</v>
      </c>
    </row>
    <row r="67" customFormat="false" ht="15" hidden="false" customHeight="false" outlineLevel="0" collapsed="false">
      <c r="B67" s="5" t="s">
        <v>274</v>
      </c>
      <c r="C67" s="38" t="n">
        <f aca="false">IRR(C63:AC63)</f>
        <v>0.100960565378758</v>
      </c>
    </row>
    <row r="68" customFormat="false" ht="15" hidden="false" customHeight="false" outlineLevel="0" collapsed="false">
      <c r="B68" s="18" t="s">
        <v>275</v>
      </c>
      <c r="C68" s="39" t="n">
        <f aca="false">IRR(C62:AC62)</f>
        <v>0.140000860008361</v>
      </c>
    </row>
    <row r="69" customFormat="false" ht="15" hidden="false" customHeight="false" outlineLevel="0" collapsed="false">
      <c r="B69" s="5" t="s">
        <v>276</v>
      </c>
      <c r="C69" s="17" t="n">
        <f aca="false">C62+NPV(Assumptions!$C$78,D62:AC62)</f>
        <v>257.396976686478</v>
      </c>
    </row>
    <row r="70" customFormat="false" ht="15" hidden="false" customHeight="false" outlineLevel="0" collapsed="false">
      <c r="B70" s="18" t="s">
        <v>277</v>
      </c>
      <c r="C70" s="40" t="n">
        <f aca="false">MIN(C58:AA58)</f>
        <v>1.47820767827068</v>
      </c>
    </row>
    <row r="71" customFormat="false" ht="15" hidden="false" customHeight="false" outlineLevel="0" collapsed="false">
      <c r="B71" s="5" t="s">
        <v>278</v>
      </c>
      <c r="C71" s="37" t="n">
        <f aca="false">AVERAGE(C58:AA58)</f>
        <v>1.47821364879282</v>
      </c>
    </row>
    <row r="72" customFormat="false" ht="15" hidden="false" customHeight="false" outlineLevel="0" collapsed="false">
      <c r="B72" s="5" t="s">
        <v>279</v>
      </c>
      <c r="C72" s="5" t="str">
        <f aca="false">IF(C68&gt;=Assumptions!$C$76-0.0001,"PASS","FAIL")</f>
        <v>PASS</v>
      </c>
    </row>
    <row r="73" customFormat="false" ht="15" hidden="false" customHeight="false" outlineLevel="0" collapsed="false">
      <c r="B73" s="5" t="s">
        <v>280</v>
      </c>
      <c r="C73" s="5" t="str">
        <f aca="false">IF(C70&gt;=Assumptions!$C$77,"PASS","FAIL")</f>
        <v>PASS</v>
      </c>
    </row>
    <row r="74" customFormat="false" ht="15" hidden="false" customHeight="false" outlineLevel="0" collapsed="false">
      <c r="B74" s="2" t="s">
        <v>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4" min="3" style="0" width="18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16.15" hidden="false" customHeight="false" outlineLevel="0" collapsed="false">
      <c r="B1" s="1" t="s">
        <v>282</v>
      </c>
    </row>
    <row r="3" customFormat="false" ht="15" hidden="false" customHeight="false" outlineLevel="0" collapsed="false">
      <c r="B3" s="15" t="s">
        <v>283</v>
      </c>
      <c r="C3" s="15" t="s">
        <v>284</v>
      </c>
      <c r="D3" s="15" t="s">
        <v>285</v>
      </c>
      <c r="E3" s="15" t="s">
        <v>286</v>
      </c>
      <c r="F3" s="15" t="s">
        <v>287</v>
      </c>
    </row>
    <row r="4" customFormat="false" ht="15" hidden="false" customHeight="false" outlineLevel="0" collapsed="false">
      <c r="B4" s="5" t="s">
        <v>288</v>
      </c>
      <c r="C4" s="28" t="n">
        <f aca="false">'Monthly Y1'!F16</f>
        <v>0.9</v>
      </c>
      <c r="D4" s="31" t="n">
        <f aca="false">Assumptions!$C$24</f>
        <v>0.9</v>
      </c>
      <c r="E4" s="18" t="str">
        <f aca="false">IF('Monthly Y1'!F16&gt;=Assumptions!$C$24,"PASS","FAIL")</f>
        <v>PASS</v>
      </c>
      <c r="F4" s="7" t="s">
        <v>289</v>
      </c>
    </row>
    <row r="5" customFormat="false" ht="15" hidden="false" customHeight="false" outlineLevel="0" collapsed="false">
      <c r="B5" s="5" t="s">
        <v>290</v>
      </c>
      <c r="C5" s="30" t="str">
        <f aca="false">'Monthly Y1'!K16</f>
        <v>ALL PASS</v>
      </c>
      <c r="D5" s="5" t="s">
        <v>291</v>
      </c>
      <c r="E5" s="18" t="str">
        <f aca="false">IF('Monthly Y1'!K16="ALL PASS","PASS","FAIL")</f>
        <v>PASS</v>
      </c>
      <c r="F5" s="7" t="s">
        <v>292</v>
      </c>
    </row>
    <row r="6" customFormat="false" ht="15" hidden="false" customHeight="false" outlineLevel="0" collapsed="false">
      <c r="B6" s="5" t="s">
        <v>293</v>
      </c>
      <c r="C6" s="28" t="n">
        <f aca="false">MIN('Dispatch 25Y'!I4:I28)</f>
        <v>0.4</v>
      </c>
      <c r="D6" s="5" t="n">
        <f aca="false">Assumptions!$C$19*(1-Assumptions!$C$20)</f>
        <v>0.34</v>
      </c>
      <c r="E6" s="18" t="str">
        <f aca="false">IF(MIN('Dispatch 25Y'!I4:I28)&gt;=Assumptions!$C$19*(1-Assumptions!$C$20),"PASS","FAIL")</f>
        <v>PASS</v>
      </c>
      <c r="F6" s="7" t="s">
        <v>294</v>
      </c>
    </row>
    <row r="7" customFormat="false" ht="15" hidden="false" customHeight="false" outlineLevel="0" collapsed="false">
      <c r="B7" s="5" t="s">
        <v>295</v>
      </c>
      <c r="C7" s="28" t="n">
        <f aca="false">MAX('Dispatch 25Y'!I4:I28)</f>
        <v>0.4</v>
      </c>
      <c r="D7" s="5" t="n">
        <f aca="false">Assumptions!$C$19*Assumptions!$C$21</f>
        <v>0.44</v>
      </c>
      <c r="E7" s="18" t="str">
        <f aca="false">IF(MAX('Dispatch 25Y'!I4:I28)&lt;=Assumptions!$C$19*Assumptions!$C$21+0.0000001,"PASS","FAIL")</f>
        <v>PASS</v>
      </c>
      <c r="F7" s="7" t="s">
        <v>296</v>
      </c>
    </row>
    <row r="8" customFormat="false" ht="15" hidden="false" customHeight="false" outlineLevel="0" collapsed="false">
      <c r="B8" s="5" t="s">
        <v>297</v>
      </c>
      <c r="C8" s="25" t="n">
        <f aca="false">'Monthly Y1'!J16</f>
        <v>0</v>
      </c>
      <c r="D8" s="5" t="s">
        <v>298</v>
      </c>
      <c r="E8" s="18" t="str">
        <f aca="false">IF('Monthly Y1'!J16&lt;=0.000001,"PASS","FAIL")</f>
        <v>PASS</v>
      </c>
      <c r="F8" s="7" t="s">
        <v>299</v>
      </c>
    </row>
    <row r="9" customFormat="false" ht="15" hidden="false" customHeight="false" outlineLevel="0" collapsed="false">
      <c r="B9" s="5" t="s">
        <v>300</v>
      </c>
      <c r="C9" s="26" t="n">
        <f aca="false">Assumptions!$C$15</f>
        <v>200</v>
      </c>
      <c r="D9" s="5" t="s">
        <v>301</v>
      </c>
      <c r="E9" s="18" t="str">
        <f aca="false">IF(Assumptions!$C$15&gt;=50,"PASS","FAIL")</f>
        <v>PASS</v>
      </c>
      <c r="F9" s="7" t="s">
        <v>302</v>
      </c>
    </row>
    <row r="10" customFormat="false" ht="15" hidden="false" customHeight="false" outlineLevel="0" collapsed="false">
      <c r="B10" s="5" t="s">
        <v>303</v>
      </c>
      <c r="C10" s="26" t="n">
        <f aca="false">MOD(Assumptions!$C$15,10)</f>
        <v>0</v>
      </c>
      <c r="D10" s="5" t="s">
        <v>298</v>
      </c>
      <c r="E10" s="18" t="str">
        <f aca="false">IF(MOD(Assumptions!$C$15,10)=0,"PASS","FAIL")</f>
        <v>PASS</v>
      </c>
      <c r="F10" s="7"/>
    </row>
    <row r="11" customFormat="false" ht="15" hidden="false" customHeight="false" outlineLevel="0" collapsed="false">
      <c r="B11" s="5" t="s">
        <v>304</v>
      </c>
      <c r="C11" s="26" t="n">
        <f aca="false">Assumptions!$C$15</f>
        <v>200</v>
      </c>
      <c r="D11" s="5" t="s">
        <v>305</v>
      </c>
      <c r="E11" s="18" t="str">
        <f aca="false">IF(Assumptions!$C$15&lt;=600,"PASS","FAIL")</f>
        <v>PASS</v>
      </c>
      <c r="F11" s="7" t="s">
        <v>306</v>
      </c>
    </row>
    <row r="12" customFormat="false" ht="15" hidden="false" customHeight="false" outlineLevel="0" collapsed="false">
      <c r="B12" s="5" t="s">
        <v>307</v>
      </c>
      <c r="C12" s="30" t="s">
        <v>308</v>
      </c>
      <c r="D12" s="5" t="s">
        <v>308</v>
      </c>
      <c r="E12" s="18" t="s">
        <v>309</v>
      </c>
      <c r="F12" s="7" t="s">
        <v>310</v>
      </c>
    </row>
    <row r="13" customFormat="false" ht="15" hidden="false" customHeight="false" outlineLevel="0" collapsed="false">
      <c r="B13" s="5" t="s">
        <v>311</v>
      </c>
      <c r="C13" s="28" t="n">
        <f aca="false">Assumptions!$C$19</f>
        <v>0.4</v>
      </c>
      <c r="D13" s="5" t="s">
        <v>312</v>
      </c>
      <c r="E13" s="18" t="str">
        <f aca="false">IF(Assumptions!$C$19&gt;=0.4,"PASS","FAIL")</f>
        <v>PASS</v>
      </c>
      <c r="F13" s="7" t="s">
        <v>313</v>
      </c>
    </row>
    <row r="15" customFormat="false" ht="15" hidden="false" customHeight="false" outlineLevel="0" collapsed="false">
      <c r="B15" s="15" t="s">
        <v>314</v>
      </c>
      <c r="C15" s="15" t="s">
        <v>315</v>
      </c>
      <c r="D15" s="15" t="s">
        <v>316</v>
      </c>
      <c r="E15" s="15" t="s">
        <v>317</v>
      </c>
      <c r="F15" s="41"/>
    </row>
    <row r="16" customFormat="false" ht="15" hidden="false" customHeight="false" outlineLevel="0" collapsed="false">
      <c r="B16" s="5" t="s">
        <v>318</v>
      </c>
      <c r="C16" s="6" t="n">
        <v>288.8</v>
      </c>
      <c r="D16" s="22" t="n">
        <f aca="false">Assumptions!$C$11</f>
        <v>288.8</v>
      </c>
      <c r="E16" s="18" t="str">
        <f aca="false">IF(ABS(C16-D16)&lt;0.005,"MATCH","DIFF")</f>
        <v>MATCH</v>
      </c>
    </row>
    <row r="17" customFormat="false" ht="15" hidden="false" customHeight="false" outlineLevel="0" collapsed="false">
      <c r="B17" s="5" t="s">
        <v>319</v>
      </c>
      <c r="C17" s="6" t="n">
        <v>40.9</v>
      </c>
      <c r="D17" s="22" t="n">
        <f aca="false">Assumptions!$C$12</f>
        <v>40.9</v>
      </c>
      <c r="E17" s="18" t="str">
        <f aca="false">IF(ABS(C17-D17)&lt;0.005,"MATCH","DIFF")</f>
        <v>MATCH</v>
      </c>
    </row>
    <row r="18" customFormat="false" ht="15" hidden="false" customHeight="false" outlineLevel="0" collapsed="false">
      <c r="B18" s="5" t="s">
        <v>320</v>
      </c>
      <c r="C18" s="6" t="n">
        <v>180</v>
      </c>
      <c r="D18" s="22" t="n">
        <f aca="false">Assumptions!$C$13</f>
        <v>180</v>
      </c>
      <c r="E18" s="18" t="str">
        <f aca="false">IF(ABS(C18-D18)&lt;0.005,"MATCH","DIFF")</f>
        <v>MATCH</v>
      </c>
    </row>
    <row r="19" customFormat="false" ht="15" hidden="false" customHeight="false" outlineLevel="0" collapsed="false">
      <c r="B19" s="5" t="s">
        <v>321</v>
      </c>
      <c r="C19" s="6" t="n">
        <v>540</v>
      </c>
      <c r="D19" s="22" t="n">
        <f aca="false">Assumptions!$C$14</f>
        <v>540</v>
      </c>
      <c r="E19" s="18" t="str">
        <f aca="false">IF(ABS(C19-D19)&lt;0.005,"MATCH","DIFF")</f>
        <v>MATCH</v>
      </c>
    </row>
    <row r="20" customFormat="false" ht="15" hidden="false" customHeight="false" outlineLevel="0" collapsed="false">
      <c r="B20" s="5" t="s">
        <v>322</v>
      </c>
      <c r="C20" s="6" t="n">
        <v>200</v>
      </c>
      <c r="D20" s="22" t="n">
        <f aca="false">Assumptions!$C$15</f>
        <v>200</v>
      </c>
      <c r="E20" s="18" t="str">
        <f aca="false">IF(ABS(C20-D20)&lt;0.005,"MATCH","DIFF")</f>
        <v>MATCH</v>
      </c>
    </row>
    <row r="21" customFormat="false" ht="15" hidden="false" customHeight="false" outlineLevel="0" collapsed="false">
      <c r="B21" s="5" t="s">
        <v>323</v>
      </c>
      <c r="C21" s="42" t="n">
        <v>5.9113</v>
      </c>
      <c r="D21" s="43" t="n">
        <f aca="false">Assumptions!$C$16</f>
        <v>5.9113</v>
      </c>
      <c r="E21" s="18" t="str">
        <f aca="false">IF(ABS(C21-D21)&lt;0.005,"MATCH","DIFF")</f>
        <v>MATCH</v>
      </c>
    </row>
    <row r="22" customFormat="false" ht="15" hidden="false" customHeight="false" outlineLevel="0" collapsed="false">
      <c r="B22" s="5" t="s">
        <v>324</v>
      </c>
      <c r="C22" s="9" t="n">
        <v>0.14</v>
      </c>
      <c r="D22" s="44" t="n">
        <f aca="false">'Financial Model'!C68</f>
        <v>0.140000860008361</v>
      </c>
      <c r="E22" s="18" t="str">
        <f aca="false">IF(ABS(C22-D22)&lt;0.001,"MATCH","DIFF")</f>
        <v>MATCH</v>
      </c>
    </row>
    <row r="23" customFormat="false" ht="15" hidden="false" customHeight="false" outlineLevel="0" collapsed="false">
      <c r="B23" s="5" t="s">
        <v>325</v>
      </c>
      <c r="C23" s="10" t="n">
        <v>1.1</v>
      </c>
      <c r="D23" s="45" t="n">
        <f aca="false">'Financial Model'!C70</f>
        <v>1.47820767827068</v>
      </c>
      <c r="E23" s="18" t="str">
        <f aca="false">IF(D23&gt;=C23,"PASS","FAIL")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6" min="5" style="0" width="12"/>
  </cols>
  <sheetData>
    <row r="1" customFormat="false" ht="16.15" hidden="false" customHeight="false" outlineLevel="0" collapsed="false">
      <c r="B1" s="1" t="s">
        <v>326</v>
      </c>
    </row>
    <row r="2" customFormat="false" ht="15" hidden="false" customHeight="false" outlineLevel="0" collapsed="false">
      <c r="B2" s="2" t="s">
        <v>327</v>
      </c>
    </row>
    <row r="4" customFormat="false" ht="15" hidden="false" customHeight="false" outlineLevel="0" collapsed="false">
      <c r="B4" s="15" t="s">
        <v>328</v>
      </c>
      <c r="C4" s="15" t="s">
        <v>329</v>
      </c>
      <c r="D4" s="15" t="s">
        <v>316</v>
      </c>
      <c r="E4" s="15" t="s">
        <v>330</v>
      </c>
      <c r="F4" s="15" t="s">
        <v>286</v>
      </c>
    </row>
    <row r="5" customFormat="false" ht="15" hidden="false" customHeight="false" outlineLevel="0" collapsed="false">
      <c r="B5" s="5" t="s">
        <v>331</v>
      </c>
      <c r="C5" s="46" t="n">
        <v>2705.60812</v>
      </c>
      <c r="D5" s="17" t="n">
        <f aca="false">Capex!C15</f>
        <v>2705.60812</v>
      </c>
      <c r="E5" s="38" t="n">
        <f aca="false">IF(ABS(C5)&gt;0.0001,(D5-C5)/ABS(C5),D5-C5)</f>
        <v>0</v>
      </c>
      <c r="F5" s="18" t="str">
        <f aca="false">IF(ABS(E5)&lt;0.005,"PASS","CHECK")</f>
        <v>PASS</v>
      </c>
    </row>
    <row r="6" customFormat="false" ht="15" hidden="false" customHeight="false" outlineLevel="0" collapsed="false">
      <c r="B6" s="5" t="s">
        <v>332</v>
      </c>
      <c r="C6" s="46" t="n">
        <v>169.385702</v>
      </c>
      <c r="D6" s="17" t="n">
        <f aca="false">Capex!C20</f>
        <v>169.385701774658</v>
      </c>
      <c r="E6" s="38" t="n">
        <f aca="false">IF(ABS(C6)&gt;0.0001,(D6-C6)/ABS(C6),D6-C6)</f>
        <v>-1.33034878723965E-009</v>
      </c>
      <c r="F6" s="18" t="str">
        <f aca="false">IF(ABS(E6)&lt;0.005,"PASS","CHECK")</f>
        <v>PASS</v>
      </c>
    </row>
    <row r="7" customFormat="false" ht="15" hidden="false" customHeight="false" outlineLevel="0" collapsed="false">
      <c r="B7" s="5" t="s">
        <v>333</v>
      </c>
      <c r="C7" s="46" t="n">
        <v>2874.993822</v>
      </c>
      <c r="D7" s="17" t="n">
        <f aca="false">Capex!C21</f>
        <v>2874.99382177466</v>
      </c>
      <c r="E7" s="38" t="n">
        <f aca="false">IF(ABS(C7)&gt;0.0001,(D7-C7)/ABS(C7),D7-C7)</f>
        <v>-7.83801054814309E-011</v>
      </c>
      <c r="F7" s="18" t="str">
        <f aca="false">IF(ABS(E7)&lt;0.005,"PASS","CHECK")</f>
        <v>PASS</v>
      </c>
    </row>
    <row r="8" customFormat="false" ht="15" hidden="false" customHeight="false" outlineLevel="0" collapsed="false">
      <c r="B8" s="5" t="s">
        <v>334</v>
      </c>
      <c r="C8" s="46" t="n">
        <v>2156.245366</v>
      </c>
      <c r="D8" s="17" t="n">
        <f aca="false">Capex!C22</f>
        <v>2156.24536633099</v>
      </c>
      <c r="E8" s="38" t="n">
        <f aca="false">IF(ABS(C8)&gt;0.0001,(D8-C8)/ABS(C8),D8-C8)</f>
        <v>1.53504476591614E-010</v>
      </c>
      <c r="F8" s="18" t="str">
        <f aca="false">IF(ABS(E8)&lt;0.005,"PASS","CHECK")</f>
        <v>PASS</v>
      </c>
    </row>
    <row r="9" customFormat="false" ht="15" hidden="false" customHeight="false" outlineLevel="0" collapsed="false">
      <c r="B9" s="5" t="s">
        <v>335</v>
      </c>
      <c r="C9" s="46" t="n">
        <v>718.748455</v>
      </c>
      <c r="D9" s="17" t="n">
        <f aca="false">Capex!C23</f>
        <v>718.748455443664</v>
      </c>
      <c r="E9" s="38" t="n">
        <f aca="false">IF(ABS(C9)&gt;0.0001,(D9-C9)/ABS(C9),D9-C9)</f>
        <v>6.17273166540332E-010</v>
      </c>
      <c r="F9" s="18" t="str">
        <f aca="false">IF(ABS(E9)&lt;0.005,"PASS","CHECK")</f>
        <v>PASS</v>
      </c>
    </row>
    <row r="10" customFormat="false" ht="15" hidden="false" customHeight="false" outlineLevel="0" collapsed="false">
      <c r="B10" s="5" t="s">
        <v>336</v>
      </c>
      <c r="C10" s="47" t="n">
        <v>10</v>
      </c>
      <c r="D10" s="25" t="n">
        <f aca="false">Capex!C25</f>
        <v>10</v>
      </c>
      <c r="E10" s="38" t="n">
        <f aca="false">IF(ABS(C10)&gt;0.0001,(D10-C10)/ABS(C10),D10-C10)</f>
        <v>0</v>
      </c>
      <c r="F10" s="18" t="str">
        <f aca="false">IF(ABS(E10)&lt;0.005,"PASS","CHECK")</f>
        <v>PASS</v>
      </c>
    </row>
    <row r="11" customFormat="false" ht="15" hidden="false" customHeight="false" outlineLevel="0" collapsed="false">
      <c r="B11" s="5" t="s">
        <v>337</v>
      </c>
      <c r="C11" s="46" t="n">
        <v>145.806</v>
      </c>
      <c r="D11" s="17" t="n">
        <f aca="false">Capex!C26</f>
        <v>145.806</v>
      </c>
      <c r="E11" s="38" t="n">
        <f aca="false">IF(ABS(C11)&gt;0.0001,(D11-C11)/ABS(C11),D11-C11)</f>
        <v>0</v>
      </c>
      <c r="F11" s="18" t="str">
        <f aca="false">IF(ABS(E11)&lt;0.005,"PASS","CHECK")</f>
        <v>PASS</v>
      </c>
    </row>
    <row r="12" customFormat="false" ht="15" hidden="false" customHeight="false" outlineLevel="0" collapsed="false">
      <c r="B12" s="5" t="s">
        <v>338</v>
      </c>
      <c r="C12" s="12" t="n">
        <v>701280</v>
      </c>
      <c r="D12" s="26" t="n">
        <f aca="false">'Dispatch 25Y'!H4</f>
        <v>701280</v>
      </c>
      <c r="E12" s="38" t="n">
        <f aca="false">IF(ABS(C12)&gt;0.0001,(D12-C12)/ABS(C12),D12-C12)</f>
        <v>0</v>
      </c>
      <c r="F12" s="18" t="str">
        <f aca="false">IF(ABS(E12)&lt;0.005,"PASS","CHECK")</f>
        <v>PASS</v>
      </c>
    </row>
    <row r="13" customFormat="false" ht="15" hidden="false" customHeight="false" outlineLevel="0" collapsed="false">
      <c r="B13" s="5" t="s">
        <v>339</v>
      </c>
      <c r="C13" s="12" t="n">
        <v>105444.810368</v>
      </c>
      <c r="D13" s="26" t="n">
        <f aca="false">'Dispatch 25Y'!K4</f>
        <v>105444.810367743</v>
      </c>
      <c r="E13" s="38" t="n">
        <f aca="false">IF(ABS(C13)&gt;0.0001,(D13-C13)/ABS(C13),D13-C13)</f>
        <v>-2.43813503426412E-012</v>
      </c>
      <c r="F13" s="18" t="str">
        <f aca="false">IF(ABS(E13)&lt;0.005,"PASS","CHECK")</f>
        <v>PASS</v>
      </c>
    </row>
    <row r="14" customFormat="false" ht="15" hidden="false" customHeight="false" outlineLevel="0" collapsed="false">
      <c r="B14" s="5" t="s">
        <v>340</v>
      </c>
      <c r="C14" s="46" t="n">
        <v>447.41465</v>
      </c>
      <c r="D14" s="17" t="n">
        <f aca="false">'Financial Model'!C13</f>
        <v>447.414649769517</v>
      </c>
      <c r="E14" s="38" t="n">
        <f aca="false">IF(ABS(C14)&gt;0.0001,(D14-C14)/ABS(C14),D14-C14)</f>
        <v>-5.15145228359617E-010</v>
      </c>
      <c r="F14" s="18" t="str">
        <f aca="false">IF(ABS(E14)&lt;0.005,"PASS","CHECK")</f>
        <v>PASS</v>
      </c>
    </row>
    <row r="15" customFormat="false" ht="15" hidden="false" customHeight="false" outlineLevel="0" collapsed="false">
      <c r="B15" s="5" t="s">
        <v>341</v>
      </c>
      <c r="C15" s="46" t="n">
        <v>59.808127</v>
      </c>
      <c r="D15" s="17" t="n">
        <f aca="false">'Financial Model'!C22</f>
        <v>59.8081271497705</v>
      </c>
      <c r="E15" s="38" t="n">
        <f aca="false">IF(ABS(C15)&gt;0.0001,(D15-C15)/ABS(C15),D15-C15)</f>
        <v>2.50418367940388E-009</v>
      </c>
      <c r="F15" s="18" t="str">
        <f aca="false">IF(ABS(E15)&lt;0.005,"PASS","CHECK")</f>
        <v>PASS</v>
      </c>
    </row>
    <row r="16" customFormat="false" ht="15" hidden="false" customHeight="false" outlineLevel="0" collapsed="false">
      <c r="B16" s="5" t="s">
        <v>342</v>
      </c>
      <c r="C16" s="46" t="n">
        <v>387.606523</v>
      </c>
      <c r="D16" s="17" t="n">
        <f aca="false">'Financial Model'!C23</f>
        <v>387.606522619746</v>
      </c>
      <c r="E16" s="38" t="n">
        <f aca="false">IF(ABS(C16)&gt;0.0001,(D16-C16)/ABS(C16),D16-C16)</f>
        <v>-9.81031091856458E-010</v>
      </c>
      <c r="F16" s="18" t="str">
        <f aca="false">IF(ABS(E16)&lt;0.005,"PASS","CHECK")</f>
        <v>PASS</v>
      </c>
    </row>
    <row r="17" customFormat="false" ht="15" hidden="false" customHeight="false" outlineLevel="0" collapsed="false">
      <c r="B17" s="5" t="s">
        <v>343</v>
      </c>
      <c r="C17" s="46" t="n">
        <v>314.058909</v>
      </c>
      <c r="D17" s="17" t="n">
        <f aca="false">'Financial Model'!C55</f>
        <v>314.058908959004</v>
      </c>
      <c r="E17" s="38" t="n">
        <f aca="false">IF(ABS(C17)&gt;0.0001,(D17-C17)/ABS(C17),D17-C17)</f>
        <v>-1.30537782984444E-010</v>
      </c>
      <c r="F17" s="18" t="str">
        <f aca="false">IF(ABS(E17)&lt;0.005,"PASS","CHECK")</f>
        <v>PASS</v>
      </c>
    </row>
    <row r="18" customFormat="false" ht="15" hidden="false" customHeight="false" outlineLevel="0" collapsed="false">
      <c r="B18" s="5" t="s">
        <v>344</v>
      </c>
      <c r="C18" s="46" t="n">
        <v>101.600539</v>
      </c>
      <c r="D18" s="17" t="n">
        <f aca="false">'Financial Model'!C57</f>
        <v>101.600557895488</v>
      </c>
      <c r="E18" s="38" t="n">
        <f aca="false">IF(ABS(C18)&gt;0.0001,(D18-C18)/ABS(C18),D18-C18)</f>
        <v>1.85978225796348E-007</v>
      </c>
      <c r="F18" s="18" t="str">
        <f aca="false">IF(ABS(E18)&lt;0.005,"PASS","CHECK")</f>
        <v>PASS</v>
      </c>
    </row>
    <row r="19" customFormat="false" ht="15" hidden="false" customHeight="false" outlineLevel="0" collapsed="false">
      <c r="B19" s="5" t="s">
        <v>345</v>
      </c>
      <c r="C19" s="46" t="n">
        <v>44.565529</v>
      </c>
      <c r="D19" s="17" t="n">
        <f aca="false">'Financial Model'!P35</f>
        <v>44.5654630262553</v>
      </c>
      <c r="E19" s="38" t="n">
        <f aca="false">IF(ABS(C19)&gt;0.0001,(D19-C19)/ABS(C19),D19-C19)</f>
        <v>-1.48037611592261E-006</v>
      </c>
      <c r="F19" s="18" t="str">
        <f aca="false">IF(ABS(E19)&lt;0.005,"PASS","CHECK")</f>
        <v>PASS</v>
      </c>
    </row>
    <row r="20" customFormat="false" ht="15" hidden="false" customHeight="false" outlineLevel="0" collapsed="false">
      <c r="B20" s="5" t="s">
        <v>346</v>
      </c>
      <c r="C20" s="46" t="n">
        <v>405</v>
      </c>
      <c r="D20" s="17" t="n">
        <f aca="false">'Financial Model'!M56</f>
        <v>405</v>
      </c>
      <c r="E20" s="38" t="n">
        <f aca="false">IF(ABS(C20)&gt;0.0001,(D20-C20)/ABS(C20),D20-C20)</f>
        <v>0</v>
      </c>
      <c r="F20" s="18" t="str">
        <f aca="false">IF(ABS(E20)&lt;0.005,"PASS","CHECK")</f>
        <v>PASS</v>
      </c>
    </row>
    <row r="21" customFormat="false" ht="15" hidden="false" customHeight="false" outlineLevel="0" collapsed="false">
      <c r="B21" s="5" t="s">
        <v>347</v>
      </c>
      <c r="C21" s="46" t="n">
        <v>327.13732</v>
      </c>
      <c r="D21" s="17" t="n">
        <f aca="false">'Financial Model'!AA23</f>
        <v>327.1373200835</v>
      </c>
      <c r="E21" s="38" t="n">
        <f aca="false">IF(ABS(C21)&gt;0.0001,(D21-C21)/ABS(C21),D21-C21)</f>
        <v>2.55244575729685E-010</v>
      </c>
      <c r="F21" s="18" t="str">
        <f aca="false">IF(ABS(E21)&lt;0.005,"PASS","CHECK")</f>
        <v>PASS</v>
      </c>
    </row>
    <row r="22" customFormat="false" ht="15" hidden="false" customHeight="false" outlineLevel="0" collapsed="false">
      <c r="B22" s="5" t="s">
        <v>348</v>
      </c>
      <c r="C22" s="14" t="n">
        <v>0.140001</v>
      </c>
      <c r="D22" s="44" t="n">
        <f aca="false">'Financial Model'!C68</f>
        <v>0.140000860008361</v>
      </c>
      <c r="E22" s="38" t="n">
        <f aca="false">IF(ABS(C22)&gt;0.0001,(D22-C22)/ABS(C22),D22-C22)</f>
        <v>-9.9993313443079E-007</v>
      </c>
      <c r="F22" s="18" t="str">
        <f aca="false">IF(ABS(E22)&lt;0.005,"PASS","CHECK")</f>
        <v>PASS</v>
      </c>
    </row>
    <row r="23" customFormat="false" ht="15" hidden="false" customHeight="false" outlineLevel="0" collapsed="false">
      <c r="B23" s="5" t="s">
        <v>349</v>
      </c>
      <c r="C23" s="14" t="n">
        <v>0.100961</v>
      </c>
      <c r="D23" s="44" t="n">
        <f aca="false">'Financial Model'!C67</f>
        <v>0.100960565378758</v>
      </c>
      <c r="E23" s="38" t="n">
        <f aca="false">IF(ABS(C23)&gt;0.0001,(D23-C23)/ABS(C23),D23-C23)</f>
        <v>-4.30484287837121E-006</v>
      </c>
      <c r="F23" s="18" t="str">
        <f aca="false">IF(ABS(E23)&lt;0.005,"PASS","CHECK")</f>
        <v>PASS</v>
      </c>
    </row>
    <row r="24" customFormat="false" ht="15" hidden="false" customHeight="false" outlineLevel="0" collapsed="false">
      <c r="B24" s="5" t="s">
        <v>350</v>
      </c>
      <c r="C24" s="48" t="n">
        <v>1.478214</v>
      </c>
      <c r="D24" s="49" t="n">
        <f aca="false">'Financial Model'!C70</f>
        <v>1.47820767827068</v>
      </c>
      <c r="E24" s="38" t="n">
        <f aca="false">IF(ABS(C24)&gt;0.0001,(D24-C24)/ABS(C24),D24-C24)</f>
        <v>-4.27659954619489E-006</v>
      </c>
      <c r="F24" s="18" t="str">
        <f aca="false">IF(ABS(E24)&lt;0.005,"PASS","CHECK")</f>
        <v>PASS</v>
      </c>
    </row>
    <row r="25" customFormat="false" ht="15" hidden="false" customHeight="false" outlineLevel="0" collapsed="false">
      <c r="B25" s="5" t="s">
        <v>351</v>
      </c>
      <c r="C25" s="46" t="n">
        <v>257.396932</v>
      </c>
      <c r="D25" s="17" t="n">
        <f aca="false">'Financial Model'!C69</f>
        <v>257.396976686478</v>
      </c>
      <c r="E25" s="38" t="n">
        <f aca="false">IF(ABS(C25)&gt;0.0001,(D25-C25)/ABS(C25),D25-C25)</f>
        <v>1.73609210438555E-007</v>
      </c>
      <c r="F25" s="18" t="str">
        <f aca="false">IF(ABS(E25)&lt;0.005,"PASS","CHECK")</f>
        <v>PASS</v>
      </c>
    </row>
    <row r="27" customFormat="false" ht="15" hidden="false" customHeight="false" outlineLevel="0" collapsed="false">
      <c r="B27" s="2" t="s">
        <v>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2026-07-13T08:36:29Z</dcterms:created>
  <dc:creator>openpyxl</dc:creator>
  <dc:description/>
  <dc:language>en-US</dc:language>
  <cp:lastModifiedBy/>
  <dcterms:modified xsi:type="dcterms:W3CDTF">2026-07-13T08:36:29Z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